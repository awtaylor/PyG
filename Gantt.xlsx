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<sst xmlns="http://schemas.openxmlformats.org/spreadsheetml/2006/main" count="420" uniqueCount="132">
  <si>
    <t>Vesynta, \textbf{Dr.\ A.\ Taylor (AT)}, \emph{Innovation and design lead}</t>
  </si>
  <si>
    <t>Sombra, \textbf{Yuriy Nakonechnyy}, emph{UI software dev.}</t>
  </si>
  <si>
    <t>Pix Medical, \textbf{S. C. Mussalian}, \emph{Functional eng. \&amp; manufacture.}</t>
  </si>
  <si>
    <t>UCL, \textbf{Dr.\ S.\  Guldin (SG)}, \emph{Project lead}</t>
  </si>
  <si>
    <t>UCL, \textbf{Dr.\ J.\  Suthar (JS)}, \emph{Prog. man.\ \&amp; bus.\ dev.\ lead}</t>
  </si>
  <si>
    <t>PORT, \textbf{N.\ Ranasinghe (NR)}, \emph{PPI rep.\ (parents)}</t>
  </si>
  <si>
    <t>Oxford Medical Devices, \textbf{Dr.\ M.\ Gould (MG)}, \emph{Regulatory cons.}</t>
  </si>
  <si>
    <t>QServe, \textbf{Sue Spencer}, \emph{IVDR compliance}</t>
  </si>
  <si>
    <t>Oversight (\textbf{Dr.\ Chrisholm}, \textbf{Steele}, \textbf{Chambers}, \textbf{Dr.\ Ibsen})</t>
  </si>
  <si>
    <t>Start</t>
  </si>
  <si>
    <t>Newcastle Uni., \textbf{Prof.\ G.\  Veal}, \emph{Clinical pharmacology lead}</t>
  </si>
  <si>
    <t>Newcastle Uni., \textbf{Dr.\ S.\ Barnett (SB)}, \emph{Val.\ \&amp; EQA res.\ ass.}</t>
  </si>
  <si>
    <t>NIHR London IVD Co-operative, \textbf{Dr.\ M.\  Ng (MIC)}, \emph{Health.\ econ.}</t>
  </si>
  <si>
    <t>GOSH, \textbf{D.\ Leyden (DL)}, \emph{YPAG GOSH lead}</t>
  </si>
  <si>
    <t>GOSH, \textbf{A. Bedi (AB)}, \emph{PPI rep.\ (senior research nurse)}</t>
  </si>
  <si>
    <t>CreativPro, \textbf{F.\ Irigaray (FI)}, \emph{Visual arts practitioner}</t>
  </si>
  <si>
    <t>BCH, \textbf{Prof.\ P.\ Kearns (PPK)}, \emph{Chief clinical advisor}</t>
  </si>
  <si>
    <t>Newcastle Hosp., \textbf{Neil Davidson (ND)}, \emph{YPAG North England lead}</t>
  </si>
  <si>
    <t>S_Dependency</t>
  </si>
  <si>
    <t>End</t>
  </si>
  <si>
    <t>E_Dependency</t>
  </si>
  <si>
    <t>LineTitle</t>
  </si>
  <si>
    <t>Color</t>
  </si>
  <si>
    <t>Annotation</t>
  </si>
  <si>
    <t>ResourceAllocation</t>
  </si>
  <si>
    <t>NOTES</t>
  </si>
  <si>
    <t>\textbf{Programme \&amp; consortia management}</t>
  </si>
  <si>
    <t>Research development group meeting</t>
  </si>
  <si>
    <t>A</t>
  </si>
  <si>
    <t>UCL, \textbf{Dr.\ S.\  Guldin (SG)}, \emph{Project lead};Newcastle Uni., \textbf{Prof.\ G.\  Veal}, \emph{Clinical pharmacology lead};Vesynta, \textbf{Dr.\ A.\ Taylor (AT)}, \emph{Innovation and design lead};UCL, \textbf{Dr.\ J.\  Suthar (JS)}, \emph{Prog. man.\ \&amp; bus.\ dev.\ lead};Newcastle Uni., \textbf{Dr.\ S.\ Barnett (SB)}, \emph{Val.\ \&amp; EQA res.\ ass.};GOSH, \textbf{A. Bedi (AB)}, \emph{PPI rep.\ (senior research nurse)};GOSH, \textbf{D.\ Leyden (DL)}, \emph{YPAG GOSH lead};BCH, \textbf{Prof.\ P.\ Kearns (PPK)}, \emph{Chief clinical advisor};PORT, \textbf{N.\ Ranasinghe (NR)}, \emph{PPI rep.\ (parents)}</t>
  </si>
  <si>
    <t>Project management team meeting</t>
  </si>
  <si>
    <t>UCL, \textbf{Dr.\ S.\  Guldin (SG)}, \emph{Project lead};Newcastle Uni., \textbf{Prof.\ G.\  Veal}, \emph{Clinical pharmacology lead};Vesynta, \textbf{Dr.\ A.\ Taylor (AT)}, \emph{Innovation and design lead};UCL, \textbf{Dr.\ J.\  Suthar (JS)}, \emph{Prog. man.\ \&amp; bus.\ dev.\ lead}</t>
  </si>
  <si>
    <t>Independent advisory board meeting</t>
  </si>
  <si>
    <t>Intellectual property panel meeting</t>
  </si>
  <si>
    <t>\textbf{Steakholder involvement: IVD design \&amp; TDM process}</t>
  </si>
  <si>
    <t>YPAGs (patients): prototype designs \&amp; testing procedures</t>
  </si>
  <si>
    <t>B</t>
  </si>
  <si>
    <t>GOSH</t>
  </si>
  <si>
    <t>GOSH, \textbf{D.\ Leyden (DL)}, \emph{YPAG GOSH lead};Vesynta, \textbf{Dr.\ A.\ Taylor (AT)}, \emph{Innovation and design lead};UCL, \textbf{Dr.\ S.\  Guldin (SG)}, \emph{Project lead};CreativPro, \textbf{F.\ Irigaray (FI)}, \emph{Visual arts practitioner}</t>
  </si>
  <si>
    <t>North England</t>
  </si>
  <si>
    <t>Newcastle Hosp., \textbf{Neil Davidson (ND)}, \emph{YPAG North England lead};Vesynta, \textbf{Dr.\ A.\ Taylor (AT)}, \emph{Innovation and design lead};UCL, \textbf{Dr.\ S.\  Guldin (SG)}, \emph{Project lead};CreativPro, \textbf{F.\ Irigaray (FI)}, \emph{Visual arts practitioner}</t>
  </si>
  <si>
    <t>YPAGs (patients): patient information resources co-creation</t>
  </si>
  <si>
    <t>PORT (parent/guardian): device \&amp; clinical process</t>
  </si>
  <si>
    <t>PORT, \textbf{N.\ Ranasinghe (NR)}, \emph{PPI rep.\ (parents)};Vesynta, \textbf{Dr.\ A.\ Taylor (AT)}, \emph{Innovation and design lead};UCL, \textbf{Dr.\ S.\  Guldin (SG)}, \emph{Project lead};Newcastle Uni., \textbf{Prof.\ G.\  Veal}, \emph{Clinical pharmacology lead}</t>
  </si>
  <si>
    <t>Public festival outreach: quantification of complex liquids</t>
  </si>
  <si>
    <t>UCL, \textbf{Dr.\ S.\  Guldin (SG)}, \emph{Project lead};UCL, \textbf{Dr.\ J.\  Suthar (JS)}, \emph{Prog. man.\ \&amp; bus.\ dev.\ lead}</t>
  </si>
  <si>
    <t>After informed iteration and automation complete Make this an annotation n Peditric Oncology Network meeting bar?</t>
  </si>
  <si>
    <t>UCL, \textbf{Dr.\ S.\  Guldin (SG)}, \emph{Project lead};UCL, \textbf{Dr.\ J.\  Suthar (JS)}, \emph{Prog. man.\ \&amp; bus.\ dev.\ lead};CreativPro, \textbf{F.\ Irigaray (FI)}, \emph{Visual arts practitioner}</t>
  </si>
  <si>
    <t xml:space="preserve">Nurses \&amp; doctors focus groups (ward/site visits) </t>
  </si>
  <si>
    <t>Site A</t>
  </si>
  <si>
    <t>UCL, \textbf{Dr.\ J.\  Suthar (JS)}, \emph{Prog. man.\ \&amp; bus.\ dev.\ lead};Vesynta, \textbf{Dr.\ A.\ Taylor (AT)}, \emph{Innovation and design lead};GOSH, \textbf{A. Bedi (AB)}, \emph{PPI rep.\ (senior research nurse)}</t>
  </si>
  <si>
    <t>Site B</t>
  </si>
  <si>
    <t>Site C</t>
  </si>
  <si>
    <t>Site D</t>
  </si>
  <si>
    <t>Site E</t>
  </si>
  <si>
    <t>Site F</t>
  </si>
  <si>
    <t>Clinician / research nurse consultations (1-to-1s)</t>
  </si>
  <si>
    <t>C</t>
  </si>
  <si>
    <t>Vesynta, \textbf{Dr.\ A.\ Taylor (AT)}, \emph{Innovation and design lead};GOSH, \textbf{A. Bedi (AB)}, \emph{PPI rep.\ (senior research nurse)};BCH, \textbf{Prof.\ P.\ Kearns (PPK)}, \emph{Chief clinical advisor};</t>
  </si>
  <si>
    <t>P</t>
  </si>
  <si>
    <t>M</t>
  </si>
  <si>
    <t>G</t>
  </si>
  <si>
    <t>Q</t>
  </si>
  <si>
    <t>Childhood Cancer Research Nurses Group symposia</t>
  </si>
  <si>
    <t>TDM clin.\ best prac.</t>
  </si>
  <si>
    <t>Newcastle Uni., \textbf{Prof.\ G.\  Veal}, \emph{Clinical pharmacology lead};Newcastle Uni., \textbf{Dr.\ S.\ Barnett (SB)}, \emph{Val.\ \&amp; EQA res.\ ass.};UCL, \textbf{Dr.\ S.\  Guldin (SG)}, \emph{Project lead};Vesynta, \textbf{Dr.\ A.\ Taylor (AT)}, \emph{Innovation and design lead};CreativPro, \textbf{F.\ Irigaray (FI)}, \emph{Visual arts practitioner}</t>
  </si>
  <si>
    <t>Make this an annotation n Peditric Oncology Network meeting bar?</t>
  </si>
  <si>
    <t>IVD workflow int.</t>
  </si>
  <si>
    <t>\textbf{Device regulation}</t>
  </si>
  <si>
    <t>Quality Management System (QMS) management reviews</t>
  </si>
  <si>
    <t>Initialisation</t>
  </si>
  <si>
    <t>Vesynta, \textbf{Dr.\ A.\ Taylor (AT)}, \emph{Innovation and design lead};Oxford Medical Devices, \textbf{Dr.\ M.\ Gould (MG)}, \emph{Regulatory cons.};</t>
  </si>
  <si>
    <t>Vesynta, \textbf{Dr.\ A.\ Taylor (AT)}, \emph{Innovation and design lead};Oxford Medical Devices, \textbf{Dr.\ M.\ Gould (MG)}, \emph{Regulatory cons.};UCL, \textbf{Dr.\ S.\  Guldin (SG)}, \emph{Project lead};UCL, \textbf{Dr.\ J.\  Suthar (JS)}, \emph{Prog. man.\ \&amp; bus.\ dev.\ lead}</t>
  </si>
  <si>
    <t>Internal audits</t>
  </si>
  <si>
    <t>Tech. file compilation</t>
  </si>
  <si>
    <t>Oxford Medical Devices, \textbf{Dr.\ M.\ Gould (MG)}, \emph{Regulatory cons.};Vesynta, \textbf{Dr.\ A.\ Taylor (AT)}, \emph{Innovation and design lead}</t>
  </si>
  <si>
    <t>External audits by Notified Body (BSI; ISO 13485)</t>
  </si>
  <si>
    <t>Documentation</t>
  </si>
  <si>
    <t>Certification</t>
  </si>
  <si>
    <t>Surveillance</t>
  </si>
  <si>
    <t>\textbf{IVD components: device prototyping}</t>
  </si>
  <si>
    <t>Cartridge consumable (C)</t>
  </si>
  <si>
    <t>D</t>
  </si>
  <si>
    <t>Pix Medical, \textbf{S. C. Mussalian}, \emph{Functional eng. \&amp; manufacture.};Vesynta, \textbf{Dr.\ A.\ Taylor (AT)}, \emph{Innovation and design lead};</t>
  </si>
  <si>
    <t>Biological matrix processing hub (P)</t>
  </si>
  <si>
    <t>Optical/measurement hub (M)</t>
  </si>
  <si>
    <t>Automated desktop unit (A)</t>
  </si>
  <si>
    <t>Pix Medical, \textbf{S. C. Mussalian}, \emph{Functional eng. \&amp; manufacture.};Sombra, \textbf{Yuriy Nakonechnyy}, emph{UI software dev.};Vesynta, \textbf{Dr.\ A.\ Taylor (AT)}, \emph{Innovation and design lead};</t>
  </si>
  <si>
    <t>Graphical user interface (G)</t>
  </si>
  <si>
    <t>Quantification algorithm (Q)</t>
  </si>
  <si>
    <t>Sombra, \textbf{Yuriy Nakonechnyy}, emph{UI software dev.};Vesynta, \textbf{Dr.\ A.\ Taylor (AT)}, \emph{Innovation and design lead};</t>
  </si>
  <si>
    <t>Manufacture and assembly</t>
  </si>
  <si>
    <t>Semi-automated IVD</t>
  </si>
  <si>
    <t>Fully-automated IVD</t>
  </si>
  <si>
    <t>\textbf{IVD analytical validation: internal quality assessment (IQA)}</t>
  </si>
  <si>
    <t>E</t>
  </si>
  <si>
    <t>Range and response: calib., LLOQ \&amp; ULOQ</t>
  </si>
  <si>
    <t>Vesynta, \textbf{Dr.\ A.\ Taylor (AT)}, \emph{Innovation and design lead};QServe, \textbf{Sue Spencer}, \emph{IVDR compliance}</t>
  </si>
  <si>
    <t>Accuracy and precision: QCs within-run \&amp; between-run</t>
  </si>
  <si>
    <t>Selectivity: blank matrices, response at rf.</t>
  </si>
  <si>
    <t>Matrix effects: spiked matrices, response interference</t>
  </si>
  <si>
    <t>Specificity: metabolites \&amp; concomitant med.</t>
  </si>
  <si>
    <t>Stability: degradation (procesing \&amp; storage)</t>
  </si>
  <si>
    <t>Carry over: blanks alongside calibration curve</t>
  </si>
  <si>
    <t>Dilution integrity: replicates for acc.\ \&amp; precision</t>
  </si>
  <si>
    <t>\textbf{IVD analytical validation: external quality assessment (EQA)}</t>
  </si>
  <si>
    <t>Blind sample preparation</t>
  </si>
  <si>
    <t>F</t>
  </si>
  <si>
    <t>Newcastle Uni., \textbf{Dr.\ S.\ Barnett (SB)}, \emph{Val.\ \&amp; EQA res.\ ass.}; QServe, \textbf{Sue Spencer}, \emph{IVDR compliance}</t>
  </si>
  <si>
    <t>Parallel sample challenges: Doxorubicin (DOX)</t>
  </si>
  <si>
    <t>Vesynta, \textbf{Dr.\ A.\ Taylor (AT)}, \emph{Innovation and design lead};Newcastle Uni., \textbf{Dr.\ S.\ Barnett (SB)}, \emph{Val.\ \&amp; EQA res.\ ass.};QServe, \textbf{Sue Spencer}, \emph{IVDR compliance}</t>
  </si>
  <si>
    <t>Parallel sample challenges: Daunorubicin (DAU)</t>
  </si>
  <si>
    <t>Parallel sample challenges: Epirubicin (EPI)</t>
  </si>
  <si>
    <t>Parallel sample challenges: Idarubicin (IDA)</t>
  </si>
  <si>
    <t>\textbf{Business development and healthcare integration}</t>
  </si>
  <si>
    <t>Put this section closer to PPI section?</t>
  </si>
  <si>
    <t>Market review and analysis</t>
  </si>
  <si>
    <t>UCL, \textbf{Dr.\ J.\  Suthar (JS)}, \emph{Prog. man.\ \&amp; bus.\ dev.\ lead};</t>
  </si>
  <si>
    <t>Pharmaceutical industry engagement</t>
  </si>
  <si>
    <t>Freedom to operate re-evalutation</t>
  </si>
  <si>
    <t>Industrial engagement (downstream partners)</t>
  </si>
  <si>
    <t>Health economic analysis</t>
  </si>
  <si>
    <t>UCL, \textbf{Dr.\ J.\  Suthar (JS)}, \emph{Prog. man.\ \&amp; bus.\ dev.\ lead};NIHR London IVD Co-operative, \textbf{Dr.\ M.\  Ng (MIC)}, \emph{Health.\ econ.}</t>
  </si>
  <si>
    <t>IP review and patent applications</t>
  </si>
  <si>
    <t>UCL, \textbf{Dr.\ S.\  Guldin (SG)}, \emph{Project lead};Vesynta, \textbf{Dr.\ A.\ Taylor (AT)}, \emph{Innovation and design lead};UCL, \textbf{Dr.\ J.\  Suthar (JS)}, \emph{Prog. man.\ \&amp; bus.\ dev.\ lead}</t>
  </si>
  <si>
    <t>Pricing consultation</t>
  </si>
  <si>
    <t>UCL, \textbf{Dr.\ J.\  Suthar (JS)}, \emph{Prog. man.\ \&amp; bus.\ dev.\ lead};NIHR London IVD Co-operative, \textbf{Dr.\ M.\  Ng (MIC)}, \emph{Health.\ econ.};NIHR London IVD Co-operative, \textbf{Dr.\ M.\  Ng (MIC)}, \emph{Health.\ econ.}</t>
  </si>
  <si>
    <t>Meetings and design of live trials (localised pilots)</t>
  </si>
  <si>
    <t>Business case development</t>
  </si>
  <si>
    <t>Follow-on grant applications and finance raise</t>
  </si>
  <si>
    <t>Engagement with NICE Health Tech assessment</t>
  </si>
  <si>
    <t>Commissioner engagement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</si>
</sst>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D/M/YYYY"/>
  </numFmts>
  <fonts count="15">
    <font>
      <sz val="10.0"/>
      <color rgb="FF000000"/>
      <name val="Arial"/>
    </font>
    <font>
      <color theme="1"/>
      <name val="Calibri"/>
    </font>
    <font/>
    <font>
      <b/>
      <sz val="10.0"/>
      <color theme="1"/>
      <name val="Roboto"/>
    </font>
    <font>
      <sz val="10.0"/>
      <color rgb="FF000000"/>
      <name val="Roboto"/>
    </font>
    <font>
      <b/>
      <sz val="10.0"/>
      <color rgb="FF000000"/>
      <name val="Roboto"/>
    </font>
    <font>
      <sz val="10.0"/>
      <color theme="1"/>
      <name val="Roboto"/>
    </font>
    <font>
      <b/>
      <sz val="10.0"/>
      <color rgb="FF000000"/>
      <name val="Inconsolata"/>
    </font>
    <font>
      <sz val="10.0"/>
      <color rgb="FF000000"/>
      <name val="Inconsolata"/>
    </font>
    <font>
      <color theme="1"/>
      <name val="Arial"/>
    </font>
    <font>
      <sz val="10.0"/>
      <color theme="1"/>
      <name val="Inconsolata"/>
    </font>
    <font>
      <b/>
      <sz val="10.0"/>
      <color theme="1"/>
      <name val="Calibri"/>
    </font>
    <font>
      <b/>
      <sz val="10.0"/>
      <color theme="1"/>
      <name val="Inconsolata"/>
    </font>
    <font>
      <sz val="11.0"/>
      <color rgb="FF000000"/>
      <name val="Inconsolata"/>
    </font>
    <font>
      <b/>
      <sz val="10.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164" xfId="0" applyBorder="1" applyFont="1" applyNumberFormat="1"/>
    <xf borderId="1" fillId="0" fontId="4" numFmtId="0" xfId="0" applyAlignment="1" applyBorder="1" applyFont="1">
      <alignment horizontal="left" readingOrder="0"/>
    </xf>
    <xf borderId="0" fillId="0" fontId="3" numFmtId="164" xfId="0" applyFont="1" applyNumberFormat="1"/>
    <xf borderId="0" fillId="0" fontId="3" numFmtId="49" xfId="0" applyFont="1" applyNumberFormat="1"/>
    <xf borderId="0" fillId="0" fontId="5" numFmtId="49" xfId="0" applyAlignment="1" applyFont="1" applyNumberFormat="1">
      <alignment readingOrder="0"/>
    </xf>
    <xf borderId="0" fillId="0" fontId="5" numFmtId="49" xfId="0" applyFont="1" applyNumberFormat="1"/>
    <xf borderId="1" fillId="0" fontId="3" numFmtId="164" xfId="0" applyAlignment="1" applyBorder="1" applyFont="1" applyNumberFormat="1">
      <alignment horizontal="right" vertical="bottom"/>
    </xf>
    <xf borderId="0" fillId="0" fontId="6" numFmtId="165" xfId="0" applyAlignment="1" applyFont="1" applyNumberFormat="1">
      <alignment horizontal="left" vertical="bottom"/>
    </xf>
    <xf borderId="0" fillId="0" fontId="3" numFmtId="164" xfId="0" applyAlignment="1" applyFont="1" applyNumberFormat="1">
      <alignment horizontal="right" vertical="bottom"/>
    </xf>
    <xf borderId="0" fillId="0" fontId="7" numFmtId="49" xfId="0" applyAlignment="1" applyFont="1" applyNumberFormat="1">
      <alignment readingOrder="0"/>
    </xf>
    <xf borderId="0" fillId="0" fontId="4" numFmtId="49" xfId="0" applyFont="1" applyNumberFormat="1"/>
    <xf borderId="0" fillId="0" fontId="8" numFmtId="49" xfId="0" applyFont="1" applyNumberFormat="1"/>
    <xf borderId="0" fillId="0" fontId="8" numFmtId="49" xfId="0" applyAlignment="1" applyFont="1" applyNumberFormat="1">
      <alignment readingOrder="0"/>
    </xf>
    <xf borderId="0" fillId="0" fontId="6" numFmtId="49" xfId="0" applyFont="1" applyNumberFormat="1"/>
    <xf borderId="1" fillId="0" fontId="3" numFmtId="164" xfId="0" applyAlignment="1" applyBorder="1" applyFont="1" applyNumberFormat="1">
      <alignment horizontal="right" readingOrder="0" vertical="bottom"/>
    </xf>
    <xf borderId="0" fillId="0" fontId="9" numFmtId="49" xfId="0" applyAlignment="1" applyFont="1" applyNumberFormat="1">
      <alignment readingOrder="0"/>
    </xf>
    <xf borderId="0" fillId="0" fontId="10" numFmtId="49" xfId="0" applyFont="1" applyNumberFormat="1"/>
    <xf borderId="1" fillId="0" fontId="5" numFmtId="164" xfId="0" applyAlignment="1" applyBorder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2" fillId="0" fontId="8" numFmtId="49" xfId="0" applyAlignment="1" applyBorder="1" applyFont="1" applyNumberFormat="1">
      <alignment readingOrder="0"/>
    </xf>
    <xf borderId="0" fillId="0" fontId="11" numFmtId="164" xfId="0" applyAlignment="1" applyFont="1" applyNumberFormat="1">
      <alignment readingOrder="0"/>
    </xf>
    <xf borderId="0" fillId="0" fontId="11" numFmtId="164" xfId="0" applyFont="1" applyNumberFormat="1"/>
    <xf borderId="0" fillId="0" fontId="10" numFmtId="49" xfId="0" applyAlignment="1" applyFont="1" applyNumberFormat="1">
      <alignment horizontal="left" readingOrder="0"/>
    </xf>
    <xf borderId="0" fillId="0" fontId="8" numFmtId="49" xfId="0" applyAlignment="1" applyFont="1" applyNumberFormat="1">
      <alignment horizontal="left" readingOrder="0"/>
    </xf>
    <xf borderId="0" fillId="0" fontId="12" numFmtId="49" xfId="0" applyFont="1" applyNumberFormat="1"/>
    <xf borderId="0" fillId="2" fontId="13" numFmtId="49" xfId="0" applyAlignment="1" applyFill="1" applyFont="1" applyNumberFormat="1">
      <alignment readingOrder="0"/>
    </xf>
    <xf borderId="0" fillId="0" fontId="10" numFmtId="0" xfId="0" applyFont="1"/>
    <xf borderId="0" fillId="0" fontId="10" numFmtId="49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4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4.29"/>
    <col customWidth="1" min="3" max="3" width="11.43"/>
    <col customWidth="1" min="4" max="4" width="15.14"/>
    <col customWidth="1" min="5" max="5" width="51.57"/>
    <col customWidth="1" min="6" max="6" width="7.29"/>
    <col customWidth="1" min="7" max="7" width="15.86"/>
    <col customWidth="1" min="8" max="8" width="54.14"/>
    <col customWidth="1" min="9" max="9" width="97.43"/>
  </cols>
  <sheetData>
    <row r="1" ht="12.75" customHeight="1">
      <c r="A1" s="3" t="s">
        <v>9</v>
      </c>
      <c r="B1" s="4" t="s">
        <v>18</v>
      </c>
      <c r="C1" s="5" t="s">
        <v>19</v>
      </c>
      <c r="D1" s="4" t="s">
        <v>20</v>
      </c>
      <c r="E1" s="6" t="s">
        <v>21</v>
      </c>
      <c r="F1" s="6" t="s">
        <v>22</v>
      </c>
      <c r="G1" s="7" t="s">
        <v>23</v>
      </c>
      <c r="H1" s="8" t="s">
        <v>24</v>
      </c>
      <c r="I1" s="6" t="s">
        <v>25</v>
      </c>
    </row>
    <row r="2" ht="12.75" customHeight="1">
      <c r="A2" s="9"/>
      <c r="B2" s="10" t="str">
        <f t="shared" ref="B2:B158" si="1">IF(_xlfn.ISFORMULA(A2), FORMULATEXT(A2), "&lt;&gt;")</f>
        <v>&lt;&gt;</v>
      </c>
      <c r="C2" s="11"/>
      <c r="D2" s="10" t="str">
        <f t="shared" ref="D2:D158" si="2">IF(_xlfn.ISFORMULA(C2), FORMULATEXT(C2), "&lt;&gt;")</f>
        <v>&lt;&gt;</v>
      </c>
      <c r="E2" s="12" t="s">
        <v>26</v>
      </c>
      <c r="F2" s="13"/>
      <c r="G2" s="14"/>
      <c r="H2" s="15"/>
      <c r="I2" s="16"/>
    </row>
    <row r="3" ht="12.75" customHeight="1">
      <c r="A3" s="17">
        <v>44105.0</v>
      </c>
      <c r="B3" s="10" t="str">
        <f t="shared" si="1"/>
        <v>&lt;&gt;</v>
      </c>
      <c r="C3" s="11">
        <f t="shared" ref="C3:C7" si="3">A3+7</f>
        <v>44112</v>
      </c>
      <c r="D3" s="10" t="str">
        <f t="shared" si="2"/>
        <v>=A3+7</v>
      </c>
      <c r="E3" s="18" t="s">
        <v>27</v>
      </c>
      <c r="F3" s="13" t="s">
        <v>28</v>
      </c>
      <c r="G3" s="14"/>
      <c r="H3" s="15" t="s">
        <v>29</v>
      </c>
      <c r="I3" s="16"/>
    </row>
    <row r="4" ht="12.75" customHeight="1">
      <c r="A4" s="17">
        <f t="shared" ref="A4:A7" si="4">edate(A3,6)</f>
        <v>44287</v>
      </c>
      <c r="B4" s="10" t="str">
        <f t="shared" si="1"/>
        <v>=edate(A3,6)</v>
      </c>
      <c r="C4" s="11">
        <f t="shared" si="3"/>
        <v>44294</v>
      </c>
      <c r="D4" s="10" t="str">
        <f t="shared" si="2"/>
        <v>=A4+7</v>
      </c>
      <c r="E4" s="18"/>
      <c r="F4" s="13" t="s">
        <v>28</v>
      </c>
      <c r="G4" s="14"/>
      <c r="H4" s="15" t="s">
        <v>29</v>
      </c>
      <c r="I4" s="16"/>
    </row>
    <row r="5" ht="12.75" customHeight="1">
      <c r="A5" s="17">
        <f t="shared" si="4"/>
        <v>44470</v>
      </c>
      <c r="B5" s="10" t="str">
        <f t="shared" si="1"/>
        <v>=edate(A4,6)</v>
      </c>
      <c r="C5" s="11">
        <f t="shared" si="3"/>
        <v>44477</v>
      </c>
      <c r="D5" s="10" t="str">
        <f t="shared" si="2"/>
        <v>=A5+7</v>
      </c>
      <c r="E5" s="18"/>
      <c r="F5" s="13" t="s">
        <v>28</v>
      </c>
      <c r="G5" s="14"/>
      <c r="H5" s="15" t="s">
        <v>29</v>
      </c>
      <c r="I5" s="16"/>
    </row>
    <row r="6" ht="12.75" customHeight="1">
      <c r="A6" s="17">
        <f t="shared" si="4"/>
        <v>44652</v>
      </c>
      <c r="B6" s="10" t="str">
        <f t="shared" si="1"/>
        <v>=edate(A5,6)</v>
      </c>
      <c r="C6" s="11">
        <f t="shared" si="3"/>
        <v>44659</v>
      </c>
      <c r="D6" s="10" t="str">
        <f t="shared" si="2"/>
        <v>=A6+7</v>
      </c>
      <c r="E6" s="18"/>
      <c r="F6" s="13" t="s">
        <v>28</v>
      </c>
      <c r="G6" s="14"/>
      <c r="H6" s="15" t="s">
        <v>29</v>
      </c>
      <c r="I6" s="16"/>
    </row>
    <row r="7" ht="12.75" customHeight="1">
      <c r="A7" s="17">
        <f t="shared" si="4"/>
        <v>44835</v>
      </c>
      <c r="B7" s="10" t="str">
        <f t="shared" si="1"/>
        <v>=edate(A6,6)</v>
      </c>
      <c r="C7" s="11">
        <f t="shared" si="3"/>
        <v>44842</v>
      </c>
      <c r="D7" s="10" t="str">
        <f t="shared" si="2"/>
        <v>=A7+7</v>
      </c>
      <c r="E7" s="18"/>
      <c r="F7" s="13" t="s">
        <v>28</v>
      </c>
      <c r="G7" s="14"/>
      <c r="H7" s="15" t="s">
        <v>29</v>
      </c>
      <c r="I7" s="16"/>
    </row>
    <row r="8" ht="12.75" customHeight="1">
      <c r="A8" s="17">
        <f>C8-7</f>
        <v>45010</v>
      </c>
      <c r="B8" s="10" t="str">
        <f t="shared" si="1"/>
        <v>=C8-7</v>
      </c>
      <c r="C8" s="11">
        <f>edate(A7,6)</f>
        <v>45017</v>
      </c>
      <c r="D8" s="10" t="str">
        <f t="shared" si="2"/>
        <v>=edate(A7,6)</v>
      </c>
      <c r="E8" s="18"/>
      <c r="F8" s="13" t="s">
        <v>28</v>
      </c>
      <c r="G8" s="14"/>
      <c r="H8" s="15" t="s">
        <v>29</v>
      </c>
      <c r="I8" s="16"/>
    </row>
    <row r="9" ht="12.75" customHeight="1">
      <c r="A9" s="17">
        <f>A3</f>
        <v>44105</v>
      </c>
      <c r="B9" s="10" t="str">
        <f t="shared" si="1"/>
        <v>=A3</v>
      </c>
      <c r="C9" s="11">
        <f t="shared" ref="C9:C18" si="5">A9+7</f>
        <v>44112</v>
      </c>
      <c r="D9" s="10" t="str">
        <f t="shared" si="2"/>
        <v>=A9+7</v>
      </c>
      <c r="E9" s="18" t="s">
        <v>30</v>
      </c>
      <c r="F9" s="13" t="s">
        <v>28</v>
      </c>
      <c r="G9" s="14"/>
      <c r="H9" s="15" t="s">
        <v>31</v>
      </c>
      <c r="I9" s="16"/>
    </row>
    <row r="10" ht="12.75" customHeight="1">
      <c r="A10" s="17">
        <f t="shared" ref="A10:A18" si="6">edate(A9,3)</f>
        <v>44197</v>
      </c>
      <c r="B10" s="10" t="str">
        <f t="shared" si="1"/>
        <v>=edate(A9,3)</v>
      </c>
      <c r="C10" s="11">
        <f t="shared" si="5"/>
        <v>44204</v>
      </c>
      <c r="D10" s="10" t="str">
        <f t="shared" si="2"/>
        <v>=A10+7</v>
      </c>
      <c r="E10" s="18"/>
      <c r="F10" s="13" t="s">
        <v>28</v>
      </c>
      <c r="G10" s="14"/>
      <c r="H10" s="15" t="s">
        <v>31</v>
      </c>
      <c r="I10" s="16"/>
    </row>
    <row r="11" ht="12.75" customHeight="1">
      <c r="A11" s="17">
        <f t="shared" si="6"/>
        <v>44287</v>
      </c>
      <c r="B11" s="10" t="str">
        <f t="shared" si="1"/>
        <v>=edate(A10,3)</v>
      </c>
      <c r="C11" s="11">
        <f t="shared" si="5"/>
        <v>44294</v>
      </c>
      <c r="D11" s="10" t="str">
        <f t="shared" si="2"/>
        <v>=A11+7</v>
      </c>
      <c r="E11" s="18"/>
      <c r="F11" s="13" t="s">
        <v>28</v>
      </c>
      <c r="G11" s="14"/>
      <c r="H11" s="15" t="s">
        <v>31</v>
      </c>
      <c r="I11" s="16"/>
    </row>
    <row r="12" ht="12.75" customHeight="1">
      <c r="A12" s="17">
        <f t="shared" si="6"/>
        <v>44378</v>
      </c>
      <c r="B12" s="10" t="str">
        <f t="shared" si="1"/>
        <v>=edate(A11,3)</v>
      </c>
      <c r="C12" s="11">
        <f t="shared" si="5"/>
        <v>44385</v>
      </c>
      <c r="D12" s="10" t="str">
        <f t="shared" si="2"/>
        <v>=A12+7</v>
      </c>
      <c r="E12" s="18"/>
      <c r="F12" s="13" t="s">
        <v>28</v>
      </c>
      <c r="G12" s="14"/>
      <c r="H12" s="15" t="s">
        <v>31</v>
      </c>
      <c r="I12" s="16"/>
    </row>
    <row r="13" ht="12.75" customHeight="1">
      <c r="A13" s="17">
        <f t="shared" si="6"/>
        <v>44470</v>
      </c>
      <c r="B13" s="10" t="str">
        <f t="shared" si="1"/>
        <v>=edate(A12,3)</v>
      </c>
      <c r="C13" s="11">
        <f t="shared" si="5"/>
        <v>44477</v>
      </c>
      <c r="D13" s="10" t="str">
        <f t="shared" si="2"/>
        <v>=A13+7</v>
      </c>
      <c r="E13" s="18"/>
      <c r="F13" s="13" t="s">
        <v>28</v>
      </c>
      <c r="G13" s="14"/>
      <c r="H13" s="15" t="s">
        <v>31</v>
      </c>
      <c r="I13" s="16"/>
    </row>
    <row r="14" ht="12.75" customHeight="1">
      <c r="A14" s="17">
        <f t="shared" si="6"/>
        <v>44562</v>
      </c>
      <c r="B14" s="10" t="str">
        <f t="shared" si="1"/>
        <v>=edate(A13,3)</v>
      </c>
      <c r="C14" s="11">
        <f t="shared" si="5"/>
        <v>44569</v>
      </c>
      <c r="D14" s="10" t="str">
        <f t="shared" si="2"/>
        <v>=A14+7</v>
      </c>
      <c r="F14" s="13" t="s">
        <v>28</v>
      </c>
      <c r="G14" s="14"/>
      <c r="H14" s="15" t="s">
        <v>31</v>
      </c>
      <c r="I14" s="16"/>
    </row>
    <row r="15" ht="12.75" customHeight="1">
      <c r="A15" s="17">
        <f t="shared" si="6"/>
        <v>44652</v>
      </c>
      <c r="B15" s="10" t="str">
        <f t="shared" si="1"/>
        <v>=edate(A14,3)</v>
      </c>
      <c r="C15" s="11">
        <f t="shared" si="5"/>
        <v>44659</v>
      </c>
      <c r="D15" s="10" t="str">
        <f t="shared" si="2"/>
        <v>=A15+7</v>
      </c>
      <c r="E15" s="18"/>
      <c r="F15" s="13" t="s">
        <v>28</v>
      </c>
      <c r="G15" s="14"/>
      <c r="H15" s="15" t="s">
        <v>31</v>
      </c>
      <c r="I15" s="16"/>
    </row>
    <row r="16" ht="12.75" customHeight="1">
      <c r="A16" s="17">
        <f t="shared" si="6"/>
        <v>44743</v>
      </c>
      <c r="B16" s="10" t="str">
        <f t="shared" si="1"/>
        <v>=edate(A15,3)</v>
      </c>
      <c r="C16" s="11">
        <f t="shared" si="5"/>
        <v>44750</v>
      </c>
      <c r="D16" s="10" t="str">
        <f t="shared" si="2"/>
        <v>=A16+7</v>
      </c>
      <c r="E16" s="18"/>
      <c r="F16" s="13" t="s">
        <v>28</v>
      </c>
      <c r="G16" s="14"/>
      <c r="H16" s="15" t="s">
        <v>31</v>
      </c>
      <c r="I16" s="16"/>
    </row>
    <row r="17" ht="12.75" customHeight="1">
      <c r="A17" s="17">
        <f t="shared" si="6"/>
        <v>44835</v>
      </c>
      <c r="B17" s="10" t="str">
        <f t="shared" si="1"/>
        <v>=edate(A16,3)</v>
      </c>
      <c r="C17" s="11">
        <f t="shared" si="5"/>
        <v>44842</v>
      </c>
      <c r="D17" s="10" t="str">
        <f t="shared" si="2"/>
        <v>=A17+7</v>
      </c>
      <c r="E17" s="18"/>
      <c r="F17" s="13" t="s">
        <v>28</v>
      </c>
      <c r="G17" s="14"/>
      <c r="H17" s="15" t="s">
        <v>31</v>
      </c>
      <c r="I17" s="16"/>
    </row>
    <row r="18" ht="12.75" customHeight="1">
      <c r="A18" s="17">
        <f t="shared" si="6"/>
        <v>44927</v>
      </c>
      <c r="B18" s="10" t="str">
        <f t="shared" si="1"/>
        <v>=edate(A17,3)</v>
      </c>
      <c r="C18" s="11">
        <f t="shared" si="5"/>
        <v>44934</v>
      </c>
      <c r="D18" s="10" t="str">
        <f t="shared" si="2"/>
        <v>=A18+7</v>
      </c>
      <c r="E18" s="18"/>
      <c r="F18" s="13" t="s">
        <v>28</v>
      </c>
      <c r="G18" s="14"/>
      <c r="H18" s="15" t="s">
        <v>31</v>
      </c>
      <c r="I18" s="16"/>
    </row>
    <row r="19" ht="12.75" customHeight="1">
      <c r="A19" s="17">
        <f>C19-7</f>
        <v>45010</v>
      </c>
      <c r="B19" s="10" t="str">
        <f t="shared" si="1"/>
        <v>=C19-7</v>
      </c>
      <c r="C19" s="11">
        <f>edate(A18,3)</f>
        <v>45017</v>
      </c>
      <c r="D19" s="10" t="str">
        <f t="shared" si="2"/>
        <v>=edate(A18,3)</v>
      </c>
      <c r="E19" s="18"/>
      <c r="F19" s="13" t="s">
        <v>28</v>
      </c>
      <c r="G19" s="14"/>
      <c r="H19" s="15" t="s">
        <v>31</v>
      </c>
      <c r="I19" s="16"/>
    </row>
    <row r="20" ht="12.75" customHeight="1">
      <c r="A20" s="17">
        <f>A3</f>
        <v>44105</v>
      </c>
      <c r="B20" s="10" t="str">
        <f t="shared" si="1"/>
        <v>=A3</v>
      </c>
      <c r="C20" s="11">
        <f t="shared" ref="C20:C24" si="7">A20+7</f>
        <v>44112</v>
      </c>
      <c r="D20" s="10" t="str">
        <f t="shared" si="2"/>
        <v>=A20+7</v>
      </c>
      <c r="E20" s="18" t="s">
        <v>32</v>
      </c>
      <c r="F20" s="13" t="s">
        <v>28</v>
      </c>
      <c r="G20" s="14"/>
      <c r="H20" s="2" t="s">
        <v>8</v>
      </c>
      <c r="I20" s="16"/>
    </row>
    <row r="21" ht="12.75" customHeight="1">
      <c r="A21" s="17">
        <f t="shared" ref="A21:A24" si="8">edate(A20,6)</f>
        <v>44287</v>
      </c>
      <c r="B21" s="10" t="str">
        <f t="shared" si="1"/>
        <v>=edate(A20,6)</v>
      </c>
      <c r="C21" s="11">
        <f t="shared" si="7"/>
        <v>44294</v>
      </c>
      <c r="D21" s="10" t="str">
        <f t="shared" si="2"/>
        <v>=A21+7</v>
      </c>
      <c r="E21" s="18"/>
      <c r="F21" s="13" t="s">
        <v>28</v>
      </c>
      <c r="G21" s="14"/>
      <c r="H21" s="2" t="s">
        <v>8</v>
      </c>
      <c r="I21" s="16"/>
    </row>
    <row r="22" ht="12.75" customHeight="1">
      <c r="A22" s="17">
        <f t="shared" si="8"/>
        <v>44470</v>
      </c>
      <c r="B22" s="10" t="str">
        <f t="shared" si="1"/>
        <v>=edate(A21,6)</v>
      </c>
      <c r="C22" s="11">
        <f t="shared" si="7"/>
        <v>44477</v>
      </c>
      <c r="D22" s="10" t="str">
        <f t="shared" si="2"/>
        <v>=A22+7</v>
      </c>
      <c r="E22" s="18"/>
      <c r="F22" s="13" t="s">
        <v>28</v>
      </c>
      <c r="G22" s="14"/>
      <c r="H22" s="2" t="s">
        <v>8</v>
      </c>
      <c r="I22" s="16"/>
    </row>
    <row r="23" ht="12.75" customHeight="1">
      <c r="A23" s="17">
        <f t="shared" si="8"/>
        <v>44652</v>
      </c>
      <c r="B23" s="10" t="str">
        <f t="shared" si="1"/>
        <v>=edate(A22,6)</v>
      </c>
      <c r="C23" s="11">
        <f t="shared" si="7"/>
        <v>44659</v>
      </c>
      <c r="D23" s="10" t="str">
        <f t="shared" si="2"/>
        <v>=A23+7</v>
      </c>
      <c r="E23" s="18"/>
      <c r="F23" s="13" t="s">
        <v>28</v>
      </c>
      <c r="G23" s="14"/>
      <c r="H23" s="2" t="s">
        <v>8</v>
      </c>
      <c r="I23" s="16"/>
    </row>
    <row r="24" ht="12.75" customHeight="1">
      <c r="A24" s="17">
        <f t="shared" si="8"/>
        <v>44835</v>
      </c>
      <c r="B24" s="10" t="str">
        <f t="shared" si="1"/>
        <v>=edate(A23,6)</v>
      </c>
      <c r="C24" s="11">
        <f t="shared" si="7"/>
        <v>44842</v>
      </c>
      <c r="D24" s="10" t="str">
        <f t="shared" si="2"/>
        <v>=A24+7</v>
      </c>
      <c r="E24" s="18"/>
      <c r="F24" s="13" t="s">
        <v>28</v>
      </c>
      <c r="G24" s="14"/>
      <c r="H24" s="2" t="s">
        <v>8</v>
      </c>
      <c r="I24" s="16"/>
    </row>
    <row r="25" ht="12.75" customHeight="1">
      <c r="A25" s="17">
        <f>C25-7</f>
        <v>45010</v>
      </c>
      <c r="B25" s="10" t="str">
        <f t="shared" si="1"/>
        <v>=C25-7</v>
      </c>
      <c r="C25" s="11">
        <f>edate(A24,6)</f>
        <v>45017</v>
      </c>
      <c r="D25" s="10" t="str">
        <f t="shared" si="2"/>
        <v>=edate(A24,6)</v>
      </c>
      <c r="E25" s="18"/>
      <c r="F25" s="13" t="s">
        <v>28</v>
      </c>
      <c r="G25" s="14"/>
      <c r="H25" s="2" t="s">
        <v>8</v>
      </c>
      <c r="I25" s="16"/>
    </row>
    <row r="26" ht="12.75" customHeight="1">
      <c r="A26" s="17">
        <f>A3</f>
        <v>44105</v>
      </c>
      <c r="B26" s="10" t="str">
        <f t="shared" si="1"/>
        <v>=A3</v>
      </c>
      <c r="C26" s="11">
        <f t="shared" ref="C26:C35" si="9">A26+7</f>
        <v>44112</v>
      </c>
      <c r="D26" s="10" t="str">
        <f t="shared" si="2"/>
        <v>=A26+7</v>
      </c>
      <c r="E26" s="18" t="s">
        <v>33</v>
      </c>
      <c r="F26" s="13" t="s">
        <v>28</v>
      </c>
      <c r="G26" s="14"/>
      <c r="H26" s="15" t="s">
        <v>31</v>
      </c>
      <c r="I26" s="16"/>
    </row>
    <row r="27" ht="12.75" customHeight="1">
      <c r="A27" s="17">
        <f t="shared" ref="A27:A35" si="10">edate(A26,3)</f>
        <v>44197</v>
      </c>
      <c r="B27" s="10" t="str">
        <f t="shared" si="1"/>
        <v>=edate(A26,3)</v>
      </c>
      <c r="C27" s="11">
        <f t="shared" si="9"/>
        <v>44204</v>
      </c>
      <c r="D27" s="10" t="str">
        <f t="shared" si="2"/>
        <v>=A27+7</v>
      </c>
      <c r="F27" s="13" t="s">
        <v>28</v>
      </c>
      <c r="G27" s="14"/>
      <c r="H27" s="15" t="s">
        <v>31</v>
      </c>
      <c r="I27" s="16"/>
    </row>
    <row r="28" ht="12.75" customHeight="1">
      <c r="A28" s="17">
        <f t="shared" si="10"/>
        <v>44287</v>
      </c>
      <c r="B28" s="10" t="str">
        <f t="shared" si="1"/>
        <v>=edate(A27,3)</v>
      </c>
      <c r="C28" s="11">
        <f t="shared" si="9"/>
        <v>44294</v>
      </c>
      <c r="D28" s="10" t="str">
        <f t="shared" si="2"/>
        <v>=A28+7</v>
      </c>
      <c r="F28" s="13" t="s">
        <v>28</v>
      </c>
      <c r="G28" s="14"/>
      <c r="H28" s="15" t="s">
        <v>31</v>
      </c>
      <c r="I28" s="16"/>
    </row>
    <row r="29" ht="12.75" customHeight="1">
      <c r="A29" s="17">
        <f t="shared" si="10"/>
        <v>44378</v>
      </c>
      <c r="B29" s="10" t="str">
        <f t="shared" si="1"/>
        <v>=edate(A28,3)</v>
      </c>
      <c r="C29" s="11">
        <f t="shared" si="9"/>
        <v>44385</v>
      </c>
      <c r="D29" s="10" t="str">
        <f t="shared" si="2"/>
        <v>=A29+7</v>
      </c>
      <c r="F29" s="13" t="s">
        <v>28</v>
      </c>
      <c r="G29" s="14"/>
      <c r="H29" s="15" t="s">
        <v>31</v>
      </c>
      <c r="I29" s="16"/>
    </row>
    <row r="30" ht="12.75" customHeight="1">
      <c r="A30" s="17">
        <f t="shared" si="10"/>
        <v>44470</v>
      </c>
      <c r="B30" s="10" t="str">
        <f t="shared" si="1"/>
        <v>=edate(A29,3)</v>
      </c>
      <c r="C30" s="11">
        <f t="shared" si="9"/>
        <v>44477</v>
      </c>
      <c r="D30" s="10" t="str">
        <f t="shared" si="2"/>
        <v>=A30+7</v>
      </c>
      <c r="F30" s="13" t="s">
        <v>28</v>
      </c>
      <c r="G30" s="14"/>
      <c r="H30" s="15" t="s">
        <v>31</v>
      </c>
      <c r="I30" s="16"/>
    </row>
    <row r="31" ht="12.75" customHeight="1">
      <c r="A31" s="17">
        <f t="shared" si="10"/>
        <v>44562</v>
      </c>
      <c r="B31" s="10" t="str">
        <f t="shared" si="1"/>
        <v>=edate(A30,3)</v>
      </c>
      <c r="C31" s="11">
        <f t="shared" si="9"/>
        <v>44569</v>
      </c>
      <c r="D31" s="10" t="str">
        <f t="shared" si="2"/>
        <v>=A31+7</v>
      </c>
      <c r="F31" s="13" t="s">
        <v>28</v>
      </c>
      <c r="G31" s="14"/>
      <c r="H31" s="15" t="s">
        <v>31</v>
      </c>
      <c r="I31" s="16"/>
    </row>
    <row r="32" ht="12.75" customHeight="1">
      <c r="A32" s="17">
        <f t="shared" si="10"/>
        <v>44652</v>
      </c>
      <c r="B32" s="10" t="str">
        <f t="shared" si="1"/>
        <v>=edate(A31,3)</v>
      </c>
      <c r="C32" s="11">
        <f t="shared" si="9"/>
        <v>44659</v>
      </c>
      <c r="D32" s="10" t="str">
        <f t="shared" si="2"/>
        <v>=A32+7</v>
      </c>
      <c r="F32" s="13" t="s">
        <v>28</v>
      </c>
      <c r="G32" s="14"/>
      <c r="H32" s="15" t="s">
        <v>31</v>
      </c>
      <c r="I32" s="16"/>
    </row>
    <row r="33" ht="12.75" customHeight="1">
      <c r="A33" s="17">
        <f t="shared" si="10"/>
        <v>44743</v>
      </c>
      <c r="B33" s="10" t="str">
        <f t="shared" si="1"/>
        <v>=edate(A32,3)</v>
      </c>
      <c r="C33" s="11">
        <f t="shared" si="9"/>
        <v>44750</v>
      </c>
      <c r="D33" s="10" t="str">
        <f t="shared" si="2"/>
        <v>=A33+7</v>
      </c>
      <c r="F33" s="13" t="s">
        <v>28</v>
      </c>
      <c r="G33" s="14"/>
      <c r="H33" s="15" t="s">
        <v>31</v>
      </c>
      <c r="I33" s="16"/>
    </row>
    <row r="34" ht="12.75" customHeight="1">
      <c r="A34" s="17">
        <f t="shared" si="10"/>
        <v>44835</v>
      </c>
      <c r="B34" s="10" t="str">
        <f t="shared" si="1"/>
        <v>=edate(A33,3)</v>
      </c>
      <c r="C34" s="11">
        <f t="shared" si="9"/>
        <v>44842</v>
      </c>
      <c r="D34" s="10" t="str">
        <f t="shared" si="2"/>
        <v>=A34+7</v>
      </c>
      <c r="F34" s="13" t="s">
        <v>28</v>
      </c>
      <c r="G34" s="14"/>
      <c r="H34" s="15" t="s">
        <v>31</v>
      </c>
      <c r="I34" s="16"/>
    </row>
    <row r="35" ht="12.75" customHeight="1">
      <c r="A35" s="17">
        <f t="shared" si="10"/>
        <v>44927</v>
      </c>
      <c r="B35" s="10" t="str">
        <f t="shared" si="1"/>
        <v>=edate(A34,3)</v>
      </c>
      <c r="C35" s="11">
        <f t="shared" si="9"/>
        <v>44934</v>
      </c>
      <c r="D35" s="10" t="str">
        <f t="shared" si="2"/>
        <v>=A35+7</v>
      </c>
      <c r="F35" s="13" t="s">
        <v>28</v>
      </c>
      <c r="G35" s="14"/>
      <c r="H35" s="15" t="s">
        <v>31</v>
      </c>
      <c r="I35" s="16"/>
    </row>
    <row r="36" ht="12.75" customHeight="1">
      <c r="A36" s="17">
        <f>C36-7</f>
        <v>45010</v>
      </c>
      <c r="B36" s="10" t="str">
        <f t="shared" si="1"/>
        <v>=C36-7</v>
      </c>
      <c r="C36" s="11">
        <f>edate(A35,3)</f>
        <v>45017</v>
      </c>
      <c r="D36" s="10" t="str">
        <f t="shared" si="2"/>
        <v>=edate(A35,3)</v>
      </c>
      <c r="F36" s="13" t="s">
        <v>28</v>
      </c>
      <c r="G36" s="14"/>
      <c r="H36" s="15" t="s">
        <v>31</v>
      </c>
      <c r="I36" s="16"/>
    </row>
    <row r="37" ht="12.75" customHeight="1">
      <c r="A37" s="3"/>
      <c r="B37" s="10" t="str">
        <f t="shared" si="1"/>
        <v>&lt;&gt;</v>
      </c>
      <c r="C37" s="5"/>
      <c r="D37" s="10" t="str">
        <f t="shared" si="2"/>
        <v>&lt;&gt;</v>
      </c>
      <c r="E37" s="12" t="s">
        <v>34</v>
      </c>
      <c r="F37" s="16"/>
      <c r="G37" s="19"/>
      <c r="H37" s="19"/>
      <c r="I37" s="16"/>
    </row>
    <row r="38" ht="12.75" customHeight="1">
      <c r="A38" s="20">
        <f>A89+21</f>
        <v>44140</v>
      </c>
      <c r="B38" s="10" t="str">
        <f t="shared" si="1"/>
        <v>=A89+21</v>
      </c>
      <c r="C38" s="21">
        <f>A38+7</f>
        <v>44147</v>
      </c>
      <c r="D38" s="10" t="str">
        <f t="shared" si="2"/>
        <v>=A38+7</v>
      </c>
      <c r="E38" s="15" t="s">
        <v>35</v>
      </c>
      <c r="F38" s="13" t="s">
        <v>36</v>
      </c>
      <c r="G38" s="15" t="s">
        <v>37</v>
      </c>
      <c r="H38" s="15" t="s">
        <v>38</v>
      </c>
      <c r="I38" s="16"/>
    </row>
    <row r="39" ht="12.75" customHeight="1">
      <c r="A39" s="20">
        <f t="shared" ref="A39:A40" si="11">C39-7</f>
        <v>44263</v>
      </c>
      <c r="B39" s="10" t="str">
        <f t="shared" si="1"/>
        <v>=C39-7</v>
      </c>
      <c r="C39" s="5">
        <f>C95</f>
        <v>44270</v>
      </c>
      <c r="D39" s="10" t="str">
        <f t="shared" si="2"/>
        <v>=C95</v>
      </c>
      <c r="E39" s="19"/>
      <c r="F39" s="13" t="s">
        <v>36</v>
      </c>
      <c r="G39" s="15" t="s">
        <v>39</v>
      </c>
      <c r="H39" s="15" t="s">
        <v>40</v>
      </c>
      <c r="I39" s="16"/>
    </row>
    <row r="40" ht="12.75" customHeight="1">
      <c r="A40" s="20">
        <f t="shared" si="11"/>
        <v>44487</v>
      </c>
      <c r="B40" s="10" t="str">
        <f t="shared" si="1"/>
        <v>=C40-7</v>
      </c>
      <c r="C40" s="5">
        <f>A90</f>
        <v>44494</v>
      </c>
      <c r="D40" s="10" t="str">
        <f t="shared" si="2"/>
        <v>=A90</v>
      </c>
      <c r="E40" s="19"/>
      <c r="F40" s="13" t="s">
        <v>36</v>
      </c>
      <c r="G40" s="15" t="s">
        <v>37</v>
      </c>
      <c r="H40" s="15" t="s">
        <v>38</v>
      </c>
      <c r="I40" s="16"/>
    </row>
    <row r="41" ht="12.75" customHeight="1">
      <c r="A41" s="20">
        <f>C100</f>
        <v>44620</v>
      </c>
      <c r="B41" s="10" t="str">
        <f t="shared" si="1"/>
        <v>=C100</v>
      </c>
      <c r="C41" s="5">
        <f t="shared" ref="C41:C48" si="12">A41+7</f>
        <v>44627</v>
      </c>
      <c r="D41" s="10" t="str">
        <f t="shared" si="2"/>
        <v>=A41+7</v>
      </c>
      <c r="E41" s="15" t="s">
        <v>41</v>
      </c>
      <c r="F41" s="22" t="s">
        <v>36</v>
      </c>
      <c r="G41" s="15" t="s">
        <v>37</v>
      </c>
      <c r="H41" s="15" t="s">
        <v>38</v>
      </c>
      <c r="I41" s="16"/>
    </row>
    <row r="42" ht="12.75" customHeight="1">
      <c r="A42" s="20">
        <f>A121</f>
        <v>44767</v>
      </c>
      <c r="B42" s="10" t="str">
        <f t="shared" si="1"/>
        <v>=A121</v>
      </c>
      <c r="C42" s="5">
        <f t="shared" si="12"/>
        <v>44774</v>
      </c>
      <c r="D42" s="10" t="str">
        <f t="shared" si="2"/>
        <v>=A42+7</v>
      </c>
      <c r="E42" s="15"/>
      <c r="F42" s="22" t="s">
        <v>36</v>
      </c>
      <c r="G42" s="15" t="s">
        <v>39</v>
      </c>
      <c r="H42" s="15" t="s">
        <v>40</v>
      </c>
      <c r="I42" s="16"/>
    </row>
    <row r="43" ht="12.75" customHeight="1">
      <c r="A43" s="20">
        <f>edate(A71,-1)</f>
        <v>44866</v>
      </c>
      <c r="B43" s="10" t="str">
        <f t="shared" si="1"/>
        <v>=edate(A71,-1)</v>
      </c>
      <c r="C43" s="5">
        <f t="shared" si="12"/>
        <v>44873</v>
      </c>
      <c r="D43" s="10" t="str">
        <f t="shared" si="2"/>
        <v>=A43+7</v>
      </c>
      <c r="E43" s="19"/>
      <c r="F43" s="13" t="s">
        <v>36</v>
      </c>
      <c r="G43" s="15" t="s">
        <v>37</v>
      </c>
      <c r="H43" s="15" t="s">
        <v>38</v>
      </c>
      <c r="I43" s="16"/>
    </row>
    <row r="44" ht="12.75" customHeight="1">
      <c r="A44" s="20">
        <f>A3</f>
        <v>44105</v>
      </c>
      <c r="B44" s="10" t="str">
        <f t="shared" si="1"/>
        <v>=A3</v>
      </c>
      <c r="C44" s="5">
        <f t="shared" si="12"/>
        <v>44112</v>
      </c>
      <c r="D44" s="10" t="str">
        <f t="shared" si="2"/>
        <v>=A44+7</v>
      </c>
      <c r="E44" s="15" t="s">
        <v>42</v>
      </c>
      <c r="F44" s="13" t="s">
        <v>36</v>
      </c>
      <c r="G44" s="15"/>
      <c r="H44" s="23" t="s">
        <v>43</v>
      </c>
      <c r="I44" s="16"/>
    </row>
    <row r="45" ht="12.75" customHeight="1">
      <c r="A45" s="20">
        <f t="shared" ref="A45:A48" si="13">edate(A44,6)</f>
        <v>44287</v>
      </c>
      <c r="B45" s="10" t="str">
        <f t="shared" si="1"/>
        <v>=edate(A44,6)</v>
      </c>
      <c r="C45" s="5">
        <f t="shared" si="12"/>
        <v>44294</v>
      </c>
      <c r="D45" s="10" t="str">
        <f t="shared" si="2"/>
        <v>=A45+7</v>
      </c>
      <c r="E45" s="19"/>
      <c r="F45" s="13" t="s">
        <v>36</v>
      </c>
      <c r="G45" s="15"/>
      <c r="H45" s="23" t="s">
        <v>43</v>
      </c>
      <c r="I45" s="16"/>
    </row>
    <row r="46" ht="12.75" customHeight="1">
      <c r="A46" s="20">
        <f t="shared" si="13"/>
        <v>44470</v>
      </c>
      <c r="B46" s="10" t="str">
        <f t="shared" si="1"/>
        <v>=edate(A45,6)</v>
      </c>
      <c r="C46" s="5">
        <f t="shared" si="12"/>
        <v>44477</v>
      </c>
      <c r="D46" s="10" t="str">
        <f t="shared" si="2"/>
        <v>=A46+7</v>
      </c>
      <c r="E46" s="19"/>
      <c r="F46" s="13" t="s">
        <v>36</v>
      </c>
      <c r="G46" s="15"/>
      <c r="H46" s="23" t="s">
        <v>43</v>
      </c>
      <c r="I46" s="16"/>
    </row>
    <row r="47" ht="12.75" customHeight="1">
      <c r="A47" s="20">
        <f t="shared" si="13"/>
        <v>44652</v>
      </c>
      <c r="B47" s="10" t="str">
        <f t="shared" si="1"/>
        <v>=edate(A46,6)</v>
      </c>
      <c r="C47" s="5">
        <f t="shared" si="12"/>
        <v>44659</v>
      </c>
      <c r="D47" s="10" t="str">
        <f t="shared" si="2"/>
        <v>=A47+7</v>
      </c>
      <c r="E47" s="19"/>
      <c r="F47" s="13" t="s">
        <v>36</v>
      </c>
      <c r="G47" s="15"/>
      <c r="H47" s="23" t="s">
        <v>43</v>
      </c>
      <c r="I47" s="16"/>
    </row>
    <row r="48" ht="12.75" customHeight="1">
      <c r="A48" s="20">
        <f t="shared" si="13"/>
        <v>44835</v>
      </c>
      <c r="B48" s="10" t="str">
        <f t="shared" si="1"/>
        <v>=edate(A47,6)</v>
      </c>
      <c r="C48" s="5">
        <f t="shared" si="12"/>
        <v>44842</v>
      </c>
      <c r="D48" s="10" t="str">
        <f t="shared" si="2"/>
        <v>=A48+7</v>
      </c>
      <c r="E48" s="19"/>
      <c r="F48" s="13" t="s">
        <v>36</v>
      </c>
      <c r="G48" s="15"/>
      <c r="H48" s="23" t="s">
        <v>43</v>
      </c>
      <c r="I48" s="16"/>
    </row>
    <row r="49" ht="12.75" customHeight="1">
      <c r="A49" s="20">
        <f>C49-7</f>
        <v>45010</v>
      </c>
      <c r="B49" s="10" t="str">
        <f t="shared" si="1"/>
        <v>=C49-7</v>
      </c>
      <c r="C49" s="5">
        <f>edate(A48,6)</f>
        <v>45017</v>
      </c>
      <c r="D49" s="10" t="str">
        <f t="shared" si="2"/>
        <v>=edate(A48,6)</v>
      </c>
      <c r="E49" s="19"/>
      <c r="F49" s="13" t="s">
        <v>36</v>
      </c>
      <c r="G49" s="15"/>
      <c r="H49" s="23" t="s">
        <v>43</v>
      </c>
      <c r="I49" s="16"/>
    </row>
    <row r="50" ht="12.75" customHeight="1">
      <c r="A50" s="24">
        <v>44470.0</v>
      </c>
      <c r="B50" s="10" t="str">
        <f t="shared" si="1"/>
        <v>&lt;&gt;</v>
      </c>
      <c r="C50" s="25">
        <f t="shared" ref="C50:C51" si="14">edate(A50,1)</f>
        <v>44501</v>
      </c>
      <c r="D50" s="10" t="str">
        <f t="shared" si="2"/>
        <v>=edate(A50,1)</v>
      </c>
      <c r="E50" s="15" t="s">
        <v>44</v>
      </c>
      <c r="F50" s="16" t="s">
        <v>36</v>
      </c>
      <c r="G50" s="15"/>
      <c r="H50" s="23" t="s">
        <v>45</v>
      </c>
      <c r="I50" s="16" t="s">
        <v>46</v>
      </c>
    </row>
    <row r="51" ht="12.75" customHeight="1">
      <c r="A51" s="20">
        <v>44835.0</v>
      </c>
      <c r="B51" s="10" t="str">
        <f t="shared" si="1"/>
        <v>&lt;&gt;</v>
      </c>
      <c r="C51" s="25">
        <f t="shared" si="14"/>
        <v>44866</v>
      </c>
      <c r="D51" s="10" t="str">
        <f t="shared" si="2"/>
        <v>=edate(A51,1)</v>
      </c>
      <c r="E51" s="15"/>
      <c r="F51" s="13" t="s">
        <v>36</v>
      </c>
      <c r="G51" s="19"/>
      <c r="H51" s="23" t="s">
        <v>47</v>
      </c>
      <c r="I51" s="16"/>
    </row>
    <row r="52" ht="12.75" customHeight="1">
      <c r="A52" s="20">
        <v>44166.0</v>
      </c>
      <c r="B52" s="10" t="str">
        <f t="shared" si="1"/>
        <v>&lt;&gt;</v>
      </c>
      <c r="C52" s="5">
        <f>A52+7</f>
        <v>44173</v>
      </c>
      <c r="D52" s="10" t="str">
        <f t="shared" si="2"/>
        <v>=A52+7</v>
      </c>
      <c r="E52" s="15" t="s">
        <v>48</v>
      </c>
      <c r="F52" s="13" t="s">
        <v>36</v>
      </c>
      <c r="G52" s="15" t="s">
        <v>49</v>
      </c>
      <c r="H52" s="15" t="s">
        <v>50</v>
      </c>
      <c r="I52" s="16"/>
    </row>
    <row r="53" ht="12.75" customHeight="1">
      <c r="A53" s="3">
        <f t="shared" ref="A53:A54" si="15">edate(A52,3)</f>
        <v>44256</v>
      </c>
      <c r="B53" s="10" t="str">
        <f t="shared" si="1"/>
        <v>=edate(A52,3)</v>
      </c>
      <c r="C53" s="3">
        <f t="shared" ref="C53:C54" si="16">edate(C52,3)</f>
        <v>44263</v>
      </c>
      <c r="D53" s="10" t="str">
        <f t="shared" si="2"/>
        <v>=edate(C52,3)</v>
      </c>
      <c r="E53" s="19"/>
      <c r="F53" s="13" t="s">
        <v>36</v>
      </c>
      <c r="G53" s="15" t="s">
        <v>51</v>
      </c>
      <c r="H53" s="15" t="s">
        <v>50</v>
      </c>
      <c r="I53" s="16"/>
    </row>
    <row r="54" ht="12.75" customHeight="1">
      <c r="A54" s="3">
        <f t="shared" si="15"/>
        <v>44348</v>
      </c>
      <c r="B54" s="10" t="str">
        <f t="shared" si="1"/>
        <v>=edate(A53,3)</v>
      </c>
      <c r="C54" s="3">
        <f t="shared" si="16"/>
        <v>44355</v>
      </c>
      <c r="D54" s="10" t="str">
        <f t="shared" si="2"/>
        <v>=edate(C53,3)</v>
      </c>
      <c r="E54" s="19"/>
      <c r="F54" s="13" t="s">
        <v>36</v>
      </c>
      <c r="G54" s="15" t="s">
        <v>52</v>
      </c>
      <c r="H54" s="15" t="s">
        <v>50</v>
      </c>
      <c r="I54" s="16"/>
    </row>
    <row r="55" ht="12.75" customHeight="1">
      <c r="A55" s="20">
        <v>44470.0</v>
      </c>
      <c r="B55" s="10" t="str">
        <f t="shared" si="1"/>
        <v>&lt;&gt;</v>
      </c>
      <c r="C55" s="5">
        <f>A55+7</f>
        <v>44477</v>
      </c>
      <c r="D55" s="10" t="str">
        <f t="shared" si="2"/>
        <v>=A55+7</v>
      </c>
      <c r="E55" s="19"/>
      <c r="F55" s="13" t="s">
        <v>36</v>
      </c>
      <c r="G55" s="15" t="s">
        <v>53</v>
      </c>
      <c r="H55" s="15" t="s">
        <v>50</v>
      </c>
      <c r="I55" s="16"/>
    </row>
    <row r="56" ht="12.75" customHeight="1">
      <c r="A56" s="3">
        <f t="shared" ref="A56:A57" si="17">edate(A55,2)</f>
        <v>44531</v>
      </c>
      <c r="B56" s="10" t="str">
        <f t="shared" si="1"/>
        <v>=edate(A55,2)</v>
      </c>
      <c r="C56" s="3">
        <f t="shared" ref="C56:C57" si="18">edate(C55,2)</f>
        <v>44538</v>
      </c>
      <c r="D56" s="10" t="str">
        <f t="shared" si="2"/>
        <v>=edate(C55,2)</v>
      </c>
      <c r="E56" s="19"/>
      <c r="F56" s="13" t="s">
        <v>36</v>
      </c>
      <c r="G56" s="15" t="s">
        <v>54</v>
      </c>
      <c r="H56" s="15" t="s">
        <v>50</v>
      </c>
      <c r="I56" s="16"/>
    </row>
    <row r="57" ht="12.75" customHeight="1">
      <c r="A57" s="3">
        <f t="shared" si="17"/>
        <v>44593</v>
      </c>
      <c r="B57" s="10" t="str">
        <f t="shared" si="1"/>
        <v>=edate(A56,2)</v>
      </c>
      <c r="C57" s="3">
        <f t="shared" si="18"/>
        <v>44600</v>
      </c>
      <c r="D57" s="10" t="str">
        <f t="shared" si="2"/>
        <v>=edate(C56,2)</v>
      </c>
      <c r="E57" s="14"/>
      <c r="F57" s="13" t="s">
        <v>36</v>
      </c>
      <c r="G57" s="15" t="s">
        <v>55</v>
      </c>
      <c r="H57" s="15" t="s">
        <v>50</v>
      </c>
      <c r="I57" s="16"/>
    </row>
    <row r="58" ht="12.75" customHeight="1">
      <c r="A58" s="3">
        <f>A89+7</f>
        <v>44126</v>
      </c>
      <c r="B58" s="10" t="str">
        <f t="shared" si="1"/>
        <v>=A89+7</v>
      </c>
      <c r="C58" s="5">
        <f t="shared" ref="C58:C69" si="19">A58+7</f>
        <v>44133</v>
      </c>
      <c r="D58" s="10" t="str">
        <f t="shared" si="2"/>
        <v>=A58+7</v>
      </c>
      <c r="E58" s="15" t="s">
        <v>56</v>
      </c>
      <c r="F58" s="13" t="s">
        <v>36</v>
      </c>
      <c r="G58" s="15" t="s">
        <v>57</v>
      </c>
      <c r="H58" s="15" t="s">
        <v>58</v>
      </c>
      <c r="I58" s="16"/>
    </row>
    <row r="59" ht="12.75" customHeight="1">
      <c r="A59" s="3">
        <f>A91+7</f>
        <v>44187</v>
      </c>
      <c r="B59" s="10" t="str">
        <f t="shared" si="1"/>
        <v>=A91+7</v>
      </c>
      <c r="C59" s="5">
        <f t="shared" si="19"/>
        <v>44194</v>
      </c>
      <c r="D59" s="10" t="str">
        <f t="shared" si="2"/>
        <v>=A59+7</v>
      </c>
      <c r="E59" s="19"/>
      <c r="F59" s="13" t="s">
        <v>36</v>
      </c>
      <c r="G59" s="15" t="s">
        <v>59</v>
      </c>
      <c r="H59" s="15" t="s">
        <v>58</v>
      </c>
      <c r="I59" s="16"/>
    </row>
    <row r="60" ht="12.75" customHeight="1">
      <c r="A60" s="3">
        <f>A93+7</f>
        <v>44218</v>
      </c>
      <c r="B60" s="10" t="str">
        <f t="shared" si="1"/>
        <v>=A93+7</v>
      </c>
      <c r="C60" s="5">
        <f t="shared" si="19"/>
        <v>44225</v>
      </c>
      <c r="D60" s="10" t="str">
        <f t="shared" si="2"/>
        <v>=A60+7</v>
      </c>
      <c r="E60" s="19"/>
      <c r="F60" s="13" t="s">
        <v>36</v>
      </c>
      <c r="G60" s="15" t="s">
        <v>60</v>
      </c>
      <c r="H60" s="15" t="s">
        <v>58</v>
      </c>
      <c r="I60" s="16"/>
    </row>
    <row r="61" ht="12.75" customHeight="1">
      <c r="A61" s="3">
        <f>A95+7</f>
        <v>44249</v>
      </c>
      <c r="B61" s="10" t="str">
        <f t="shared" si="1"/>
        <v>=A95+7</v>
      </c>
      <c r="C61" s="5">
        <f t="shared" si="19"/>
        <v>44256</v>
      </c>
      <c r="D61" s="10" t="str">
        <f t="shared" si="2"/>
        <v>=A61+7</v>
      </c>
      <c r="E61" s="19"/>
      <c r="F61" s="13" t="s">
        <v>36</v>
      </c>
      <c r="G61" s="15" t="s">
        <v>28</v>
      </c>
      <c r="H61" s="15" t="s">
        <v>58</v>
      </c>
      <c r="I61" s="16"/>
    </row>
    <row r="62" ht="12.75" customHeight="1">
      <c r="A62" s="3">
        <f>A97+7</f>
        <v>44277</v>
      </c>
      <c r="B62" s="10" t="str">
        <f t="shared" si="1"/>
        <v>=A97+7</v>
      </c>
      <c r="C62" s="5">
        <f t="shared" si="19"/>
        <v>44284</v>
      </c>
      <c r="D62" s="10" t="str">
        <f t="shared" si="2"/>
        <v>=A62+7</v>
      </c>
      <c r="E62" s="19"/>
      <c r="F62" s="13" t="s">
        <v>36</v>
      </c>
      <c r="G62" s="15" t="s">
        <v>61</v>
      </c>
      <c r="H62" s="15" t="s">
        <v>58</v>
      </c>
      <c r="I62" s="16"/>
    </row>
    <row r="63" ht="12.75" customHeight="1">
      <c r="A63" s="3">
        <f>A99+7</f>
        <v>44338</v>
      </c>
      <c r="B63" s="10" t="str">
        <f t="shared" si="1"/>
        <v>=A99+7</v>
      </c>
      <c r="C63" s="5">
        <f t="shared" si="19"/>
        <v>44345</v>
      </c>
      <c r="D63" s="10" t="str">
        <f t="shared" si="2"/>
        <v>=A63+7</v>
      </c>
      <c r="E63" s="19"/>
      <c r="F63" s="13" t="s">
        <v>36</v>
      </c>
      <c r="G63" s="15" t="s">
        <v>62</v>
      </c>
      <c r="H63" s="15" t="s">
        <v>58</v>
      </c>
      <c r="I63" s="16"/>
    </row>
    <row r="64" ht="12.75" customHeight="1">
      <c r="A64" s="3">
        <f>A90+7</f>
        <v>44501</v>
      </c>
      <c r="B64" s="10" t="str">
        <f t="shared" si="1"/>
        <v>=A90+7</v>
      </c>
      <c r="C64" s="5">
        <f t="shared" si="19"/>
        <v>44508</v>
      </c>
      <c r="D64" s="10" t="str">
        <f t="shared" si="2"/>
        <v>=A64+7</v>
      </c>
      <c r="E64" s="19"/>
      <c r="F64" s="13" t="s">
        <v>36</v>
      </c>
      <c r="G64" s="15"/>
      <c r="H64" s="15" t="s">
        <v>58</v>
      </c>
      <c r="I64" s="16"/>
    </row>
    <row r="65" ht="12.75" customHeight="1">
      <c r="A65" s="3">
        <f>A92+7</f>
        <v>44522</v>
      </c>
      <c r="B65" s="10" t="str">
        <f t="shared" si="1"/>
        <v>=A92+7</v>
      </c>
      <c r="C65" s="5">
        <f t="shared" si="19"/>
        <v>44529</v>
      </c>
      <c r="D65" s="10" t="str">
        <f t="shared" si="2"/>
        <v>=A65+7</v>
      </c>
      <c r="E65" s="19"/>
      <c r="F65" s="13" t="s">
        <v>36</v>
      </c>
      <c r="G65" s="15"/>
      <c r="H65" s="15" t="s">
        <v>58</v>
      </c>
      <c r="I65" s="16"/>
    </row>
    <row r="66" ht="12.75" customHeight="1">
      <c r="A66" s="3">
        <f>A94+7</f>
        <v>44543</v>
      </c>
      <c r="B66" s="10" t="str">
        <f t="shared" si="1"/>
        <v>=A94+7</v>
      </c>
      <c r="C66" s="5">
        <f t="shared" si="19"/>
        <v>44550</v>
      </c>
      <c r="D66" s="10" t="str">
        <f t="shared" si="2"/>
        <v>=A66+7</v>
      </c>
      <c r="E66" s="19"/>
      <c r="F66" s="13" t="s">
        <v>36</v>
      </c>
      <c r="G66" s="15"/>
      <c r="H66" s="15" t="s">
        <v>58</v>
      </c>
      <c r="I66" s="16"/>
    </row>
    <row r="67" ht="12.75" customHeight="1">
      <c r="A67" s="3">
        <f>A96+7</f>
        <v>44564</v>
      </c>
      <c r="B67" s="10" t="str">
        <f t="shared" si="1"/>
        <v>=A96+7</v>
      </c>
      <c r="C67" s="5">
        <f t="shared" si="19"/>
        <v>44571</v>
      </c>
      <c r="D67" s="10" t="str">
        <f t="shared" si="2"/>
        <v>=A67+7</v>
      </c>
      <c r="E67" s="19"/>
      <c r="F67" s="13" t="s">
        <v>36</v>
      </c>
      <c r="G67" s="15"/>
      <c r="H67" s="15" t="s">
        <v>58</v>
      </c>
      <c r="I67" s="16"/>
    </row>
    <row r="68" ht="12.75" customHeight="1">
      <c r="A68" s="3">
        <f>A98+7</f>
        <v>44585</v>
      </c>
      <c r="B68" s="10" t="str">
        <f t="shared" si="1"/>
        <v>=A98+7</v>
      </c>
      <c r="C68" s="5">
        <f t="shared" si="19"/>
        <v>44592</v>
      </c>
      <c r="D68" s="10" t="str">
        <f t="shared" si="2"/>
        <v>=A68+7</v>
      </c>
      <c r="E68" s="19"/>
      <c r="F68" s="13" t="s">
        <v>36</v>
      </c>
      <c r="G68" s="15"/>
      <c r="H68" s="15" t="s">
        <v>58</v>
      </c>
      <c r="I68" s="16"/>
    </row>
    <row r="69" ht="12.75" customHeight="1">
      <c r="A69" s="3">
        <f>A100+7</f>
        <v>44606</v>
      </c>
      <c r="B69" s="10" t="str">
        <f t="shared" si="1"/>
        <v>=A100+7</v>
      </c>
      <c r="C69" s="5">
        <f t="shared" si="19"/>
        <v>44613</v>
      </c>
      <c r="D69" s="10" t="str">
        <f t="shared" si="2"/>
        <v>=A69+7</v>
      </c>
      <c r="E69" s="19"/>
      <c r="F69" s="13" t="s">
        <v>36</v>
      </c>
      <c r="G69" s="15"/>
      <c r="H69" s="15" t="s">
        <v>58</v>
      </c>
      <c r="I69" s="16"/>
    </row>
    <row r="70" ht="12.75" customHeight="1">
      <c r="A70" s="20">
        <v>44348.0</v>
      </c>
      <c r="B70" s="10" t="str">
        <f t="shared" si="1"/>
        <v>&lt;&gt;</v>
      </c>
      <c r="C70" s="5">
        <f t="shared" ref="C70:C71" si="20">edate(A70,1)</f>
        <v>44378</v>
      </c>
      <c r="D70" s="10" t="str">
        <f t="shared" si="2"/>
        <v>=edate(A70,1)</v>
      </c>
      <c r="E70" s="26" t="s">
        <v>63</v>
      </c>
      <c r="F70" s="13" t="s">
        <v>36</v>
      </c>
      <c r="G70" s="27" t="s">
        <v>64</v>
      </c>
      <c r="H70" s="23" t="s">
        <v>65</v>
      </c>
      <c r="I70" s="16" t="s">
        <v>66</v>
      </c>
    </row>
    <row r="71" ht="12.75" customHeight="1">
      <c r="A71" s="20">
        <f>edate(A70,18)</f>
        <v>44896</v>
      </c>
      <c r="B71" s="10" t="str">
        <f t="shared" si="1"/>
        <v>=edate(A70,18)</v>
      </c>
      <c r="C71" s="21">
        <f t="shared" si="20"/>
        <v>44927</v>
      </c>
      <c r="D71" s="10" t="str">
        <f t="shared" si="2"/>
        <v>=edate(A71,1)</v>
      </c>
      <c r="E71" s="15"/>
      <c r="F71" s="13" t="s">
        <v>36</v>
      </c>
      <c r="G71" s="15" t="s">
        <v>67</v>
      </c>
      <c r="H71" s="23" t="s">
        <v>65</v>
      </c>
      <c r="I71" s="16"/>
    </row>
    <row r="72" ht="12.75" customHeight="1">
      <c r="A72" s="3"/>
      <c r="B72" s="10" t="str">
        <f t="shared" si="1"/>
        <v>&lt;&gt;</v>
      </c>
      <c r="C72" s="5"/>
      <c r="D72" s="10" t="str">
        <f t="shared" si="2"/>
        <v>&lt;&gt;</v>
      </c>
      <c r="E72" s="28" t="s">
        <v>68</v>
      </c>
      <c r="F72" s="16"/>
      <c r="G72" s="19"/>
      <c r="H72" s="19"/>
      <c r="I72" s="16"/>
    </row>
    <row r="73" ht="12.75" customHeight="1">
      <c r="A73" s="20">
        <v>44105.0</v>
      </c>
      <c r="B73" s="10" t="str">
        <f t="shared" si="1"/>
        <v>&lt;&gt;</v>
      </c>
      <c r="C73" s="5">
        <f>A73+14</f>
        <v>44119</v>
      </c>
      <c r="D73" s="10" t="str">
        <f t="shared" si="2"/>
        <v>=A73+14</v>
      </c>
      <c r="E73" s="15" t="s">
        <v>69</v>
      </c>
      <c r="F73" s="22" t="s">
        <v>57</v>
      </c>
      <c r="G73" s="15" t="s">
        <v>70</v>
      </c>
      <c r="H73" s="15" t="s">
        <v>71</v>
      </c>
      <c r="I73" s="16"/>
    </row>
    <row r="74" ht="12.75" customHeight="1">
      <c r="A74" s="20">
        <f>edate(A75,-2)</f>
        <v>44197</v>
      </c>
      <c r="B74" s="10" t="str">
        <f t="shared" si="1"/>
        <v>=edate(A75,-2)</v>
      </c>
      <c r="C74" s="5">
        <f t="shared" ref="C74:C83" si="21">A74+7</f>
        <v>44204</v>
      </c>
      <c r="D74" s="10" t="str">
        <f t="shared" si="2"/>
        <v>=A74+7</v>
      </c>
      <c r="E74" s="15"/>
      <c r="F74" s="22" t="s">
        <v>57</v>
      </c>
      <c r="G74" s="15"/>
      <c r="H74" s="29" t="s">
        <v>72</v>
      </c>
      <c r="I74" s="16"/>
    </row>
    <row r="75" ht="12.75" customHeight="1">
      <c r="A75" s="20">
        <f>edate(A81,-2)</f>
        <v>44256</v>
      </c>
      <c r="B75" s="10" t="str">
        <f t="shared" si="1"/>
        <v>=edate(A81,-2)</v>
      </c>
      <c r="C75" s="5">
        <f t="shared" si="21"/>
        <v>44263</v>
      </c>
      <c r="D75" s="10" t="str">
        <f t="shared" si="2"/>
        <v>=A75+7</v>
      </c>
      <c r="E75" s="15"/>
      <c r="F75" s="22" t="s">
        <v>57</v>
      </c>
      <c r="G75" s="15"/>
      <c r="H75" s="29" t="s">
        <v>72</v>
      </c>
      <c r="I75" s="16"/>
    </row>
    <row r="76" ht="12.75" customHeight="1">
      <c r="A76" s="20">
        <f>edate(A85,1)</f>
        <v>44409</v>
      </c>
      <c r="B76" s="10" t="str">
        <f t="shared" si="1"/>
        <v>=edate(A85,1)</v>
      </c>
      <c r="C76" s="5">
        <f t="shared" si="21"/>
        <v>44416</v>
      </c>
      <c r="D76" s="10" t="str">
        <f t="shared" si="2"/>
        <v>=A76+7</v>
      </c>
      <c r="E76" s="15"/>
      <c r="F76" s="22" t="s">
        <v>57</v>
      </c>
      <c r="G76" s="15"/>
      <c r="H76" s="29" t="s">
        <v>72</v>
      </c>
      <c r="I76" s="16"/>
    </row>
    <row r="77" ht="12.75" customHeight="1">
      <c r="A77" s="20">
        <f>edate(A76,1)</f>
        <v>44440</v>
      </c>
      <c r="B77" s="10" t="str">
        <f t="shared" si="1"/>
        <v>=edate(A76,1)</v>
      </c>
      <c r="C77" s="5">
        <f t="shared" si="21"/>
        <v>44447</v>
      </c>
      <c r="D77" s="10" t="str">
        <f t="shared" si="2"/>
        <v>=A77+7</v>
      </c>
      <c r="E77" s="15"/>
      <c r="F77" s="22" t="s">
        <v>57</v>
      </c>
      <c r="G77" s="15"/>
      <c r="H77" s="29" t="s">
        <v>72</v>
      </c>
      <c r="I77" s="16"/>
    </row>
    <row r="78" ht="12.75" customHeight="1">
      <c r="A78" s="20">
        <f>edate(A86,3)</f>
        <v>44579</v>
      </c>
      <c r="B78" s="10" t="str">
        <f t="shared" si="1"/>
        <v>=edate(A86,3)</v>
      </c>
      <c r="C78" s="5">
        <f t="shared" si="21"/>
        <v>44586</v>
      </c>
      <c r="D78" s="10" t="str">
        <f t="shared" si="2"/>
        <v>=A78+7</v>
      </c>
      <c r="E78" s="15"/>
      <c r="F78" s="22" t="s">
        <v>57</v>
      </c>
      <c r="G78" s="15"/>
      <c r="H78" s="29" t="s">
        <v>72</v>
      </c>
      <c r="I78" s="16"/>
    </row>
    <row r="79" ht="12.75" customHeight="1">
      <c r="A79" s="20">
        <f>edate(A78,5)</f>
        <v>44730</v>
      </c>
      <c r="B79" s="10" t="str">
        <f t="shared" si="1"/>
        <v>=edate(A78,5)</v>
      </c>
      <c r="C79" s="5">
        <f t="shared" si="21"/>
        <v>44737</v>
      </c>
      <c r="D79" s="10" t="str">
        <f t="shared" si="2"/>
        <v>=A79+7</v>
      </c>
      <c r="E79" s="15"/>
      <c r="F79" s="22" t="s">
        <v>57</v>
      </c>
      <c r="G79" s="15"/>
      <c r="H79" s="29" t="s">
        <v>72</v>
      </c>
      <c r="I79" s="16"/>
    </row>
    <row r="80" ht="12.75" customHeight="1">
      <c r="A80" s="20">
        <f>edate(A79,6)</f>
        <v>44913</v>
      </c>
      <c r="B80" s="10" t="str">
        <f t="shared" si="1"/>
        <v>=edate(A79,6)</v>
      </c>
      <c r="C80" s="5">
        <f t="shared" si="21"/>
        <v>44920</v>
      </c>
      <c r="D80" s="10" t="str">
        <f t="shared" si="2"/>
        <v>=A80+7</v>
      </c>
      <c r="E80" s="15"/>
      <c r="F80" s="22" t="s">
        <v>57</v>
      </c>
      <c r="G80" s="15"/>
      <c r="H80" s="29" t="s">
        <v>72</v>
      </c>
      <c r="I80" s="16"/>
    </row>
    <row r="81" ht="12.75" customHeight="1">
      <c r="A81" s="20">
        <f>edate(A85,-2)</f>
        <v>44317</v>
      </c>
      <c r="B81" s="10" t="str">
        <f t="shared" si="1"/>
        <v>=edate(A85,-2)</v>
      </c>
      <c r="C81" s="5">
        <f t="shared" si="21"/>
        <v>44324</v>
      </c>
      <c r="D81" s="10" t="str">
        <f t="shared" si="2"/>
        <v>=A81+7</v>
      </c>
      <c r="E81" s="15" t="s">
        <v>73</v>
      </c>
      <c r="F81" s="22" t="s">
        <v>57</v>
      </c>
      <c r="G81" s="15"/>
      <c r="H81" s="29" t="s">
        <v>72</v>
      </c>
      <c r="I81" s="16"/>
    </row>
    <row r="82" ht="12.75" customHeight="1">
      <c r="A82" s="20">
        <f>edate(A77,1)</f>
        <v>44470</v>
      </c>
      <c r="B82" s="10" t="str">
        <f t="shared" si="1"/>
        <v>=edate(A77,1)</v>
      </c>
      <c r="C82" s="5">
        <f t="shared" si="21"/>
        <v>44477</v>
      </c>
      <c r="D82" s="10" t="str">
        <f t="shared" si="2"/>
        <v>=A82+7</v>
      </c>
      <c r="E82" s="15"/>
      <c r="F82" s="22" t="s">
        <v>57</v>
      </c>
      <c r="G82" s="15"/>
      <c r="H82" s="29" t="s">
        <v>72</v>
      </c>
      <c r="I82" s="16"/>
    </row>
    <row r="83" ht="12.75" customHeight="1">
      <c r="A83" s="20">
        <f>edate(A86,6)</f>
        <v>44669</v>
      </c>
      <c r="B83" s="10" t="str">
        <f t="shared" si="1"/>
        <v>=edate(A86,6)</v>
      </c>
      <c r="C83" s="5">
        <f t="shared" si="21"/>
        <v>44676</v>
      </c>
      <c r="D83" s="10" t="str">
        <f t="shared" si="2"/>
        <v>=A83+7</v>
      </c>
      <c r="E83" s="15"/>
      <c r="F83" s="22" t="s">
        <v>57</v>
      </c>
      <c r="G83" s="15"/>
      <c r="H83" s="29" t="s">
        <v>72</v>
      </c>
      <c r="I83" s="16"/>
    </row>
    <row r="84" ht="12.75" customHeight="1">
      <c r="A84" s="20">
        <f>edate(C84,-3)</f>
        <v>44927</v>
      </c>
      <c r="B84" s="10" t="str">
        <f t="shared" si="1"/>
        <v>=edate(C84,-3)</v>
      </c>
      <c r="C84" s="21">
        <v>45017.0</v>
      </c>
      <c r="D84" s="10" t="str">
        <f t="shared" si="2"/>
        <v>&lt;&gt;</v>
      </c>
      <c r="E84" s="15"/>
      <c r="F84" s="22" t="s">
        <v>57</v>
      </c>
      <c r="G84" s="15" t="s">
        <v>74</v>
      </c>
      <c r="H84" s="15" t="s">
        <v>75</v>
      </c>
      <c r="I84" s="16"/>
    </row>
    <row r="85" ht="12.75" customHeight="1">
      <c r="A85" s="20">
        <v>44378.0</v>
      </c>
      <c r="B85" s="10" t="str">
        <f t="shared" si="1"/>
        <v>&lt;&gt;</v>
      </c>
      <c r="C85" s="5">
        <f t="shared" ref="C85:C87" si="22">A85+7</f>
        <v>44385</v>
      </c>
      <c r="D85" s="10" t="str">
        <f t="shared" si="2"/>
        <v>=A85+7</v>
      </c>
      <c r="E85" s="15" t="s">
        <v>76</v>
      </c>
      <c r="F85" s="22" t="s">
        <v>57</v>
      </c>
      <c r="G85" s="15" t="s">
        <v>77</v>
      </c>
      <c r="H85" s="29" t="s">
        <v>72</v>
      </c>
      <c r="I85" s="16"/>
    </row>
    <row r="86" ht="12.75" customHeight="1">
      <c r="A86" s="20">
        <f>edate(A82,1)-14</f>
        <v>44487</v>
      </c>
      <c r="B86" s="10" t="str">
        <f t="shared" si="1"/>
        <v>=edate(A82,1)-14</v>
      </c>
      <c r="C86" s="5">
        <f t="shared" si="22"/>
        <v>44494</v>
      </c>
      <c r="D86" s="10" t="str">
        <f t="shared" si="2"/>
        <v>=A86+7</v>
      </c>
      <c r="E86" s="15"/>
      <c r="F86" s="22" t="s">
        <v>57</v>
      </c>
      <c r="G86" s="15" t="s">
        <v>78</v>
      </c>
      <c r="H86" s="29" t="s">
        <v>72</v>
      </c>
      <c r="I86" s="16"/>
    </row>
    <row r="87" ht="12.75" customHeight="1">
      <c r="A87" s="20">
        <f>edate(A86,12)</f>
        <v>44852</v>
      </c>
      <c r="B87" s="10" t="str">
        <f t="shared" si="1"/>
        <v>=edate(A86,12)</v>
      </c>
      <c r="C87" s="5">
        <f t="shared" si="22"/>
        <v>44859</v>
      </c>
      <c r="D87" s="10" t="str">
        <f t="shared" si="2"/>
        <v>=A87+7</v>
      </c>
      <c r="E87" s="15"/>
      <c r="F87" s="22" t="s">
        <v>57</v>
      </c>
      <c r="G87" s="15" t="s">
        <v>79</v>
      </c>
      <c r="H87" s="29" t="s">
        <v>72</v>
      </c>
      <c r="I87" s="16"/>
    </row>
    <row r="88" ht="12.75" customHeight="1">
      <c r="A88" s="3"/>
      <c r="B88" s="10" t="str">
        <f t="shared" si="1"/>
        <v>&lt;&gt;</v>
      </c>
      <c r="C88" s="5"/>
      <c r="D88" s="10" t="str">
        <f t="shared" si="2"/>
        <v>&lt;&gt;</v>
      </c>
      <c r="E88" s="12" t="s">
        <v>80</v>
      </c>
      <c r="F88" s="16"/>
      <c r="G88" s="19"/>
      <c r="H88" s="19"/>
      <c r="I88" s="16"/>
    </row>
    <row r="89" ht="12.75" customHeight="1">
      <c r="A89" s="20">
        <f>A73+14</f>
        <v>44119</v>
      </c>
      <c r="B89" s="10" t="str">
        <f t="shared" si="1"/>
        <v>=A73+14</v>
      </c>
      <c r="C89" s="5">
        <f>EDATE(A89,2)</f>
        <v>44180</v>
      </c>
      <c r="D89" s="10" t="str">
        <f t="shared" si="2"/>
        <v>=EDATE(A89,2)</v>
      </c>
      <c r="E89" s="15" t="s">
        <v>81</v>
      </c>
      <c r="F89" s="22" t="s">
        <v>82</v>
      </c>
      <c r="G89" s="15" t="s">
        <v>57</v>
      </c>
      <c r="H89" s="15" t="s">
        <v>83</v>
      </c>
      <c r="I89" s="16"/>
    </row>
    <row r="90" ht="12.75" customHeight="1">
      <c r="A90" s="3">
        <f>C86</f>
        <v>44494</v>
      </c>
      <c r="B90" s="10" t="str">
        <f t="shared" si="1"/>
        <v>=C86</v>
      </c>
      <c r="C90" s="5">
        <f>A90+21</f>
        <v>44515</v>
      </c>
      <c r="D90" s="10" t="str">
        <f t="shared" si="2"/>
        <v>=A90+21</v>
      </c>
      <c r="E90" s="19"/>
      <c r="F90" s="22" t="s">
        <v>82</v>
      </c>
      <c r="G90" s="15" t="s">
        <v>57</v>
      </c>
      <c r="H90" s="15" t="s">
        <v>83</v>
      </c>
      <c r="I90" s="16"/>
    </row>
    <row r="91" ht="12.75" customHeight="1">
      <c r="A91" s="3">
        <f t="shared" ref="A91:A100" si="23">C89</f>
        <v>44180</v>
      </c>
      <c r="B91" s="10" t="str">
        <f t="shared" si="1"/>
        <v>=C89</v>
      </c>
      <c r="C91" s="5">
        <f>EDATE(A91,1.5)</f>
        <v>44211</v>
      </c>
      <c r="D91" s="10" t="str">
        <f t="shared" si="2"/>
        <v>=EDATE(A91,1.5)</v>
      </c>
      <c r="E91" s="15" t="s">
        <v>84</v>
      </c>
      <c r="F91" s="22" t="s">
        <v>82</v>
      </c>
      <c r="G91" s="15" t="s">
        <v>59</v>
      </c>
      <c r="H91" s="15" t="s">
        <v>83</v>
      </c>
      <c r="I91" s="16"/>
    </row>
    <row r="92" ht="12.75" customHeight="1">
      <c r="A92" s="3">
        <f t="shared" si="23"/>
        <v>44515</v>
      </c>
      <c r="B92" s="10" t="str">
        <f t="shared" si="1"/>
        <v>=C90</v>
      </c>
      <c r="C92" s="5">
        <f>A92+21</f>
        <v>44536</v>
      </c>
      <c r="D92" s="10" t="str">
        <f t="shared" si="2"/>
        <v>=A92+21</v>
      </c>
      <c r="E92" s="19"/>
      <c r="F92" s="22" t="s">
        <v>82</v>
      </c>
      <c r="G92" s="15" t="s">
        <v>59</v>
      </c>
      <c r="H92" s="15" t="s">
        <v>83</v>
      </c>
      <c r="I92" s="16"/>
    </row>
    <row r="93" ht="12.75" customHeight="1">
      <c r="A93" s="3">
        <f t="shared" si="23"/>
        <v>44211</v>
      </c>
      <c r="B93" s="10" t="str">
        <f t="shared" si="1"/>
        <v>=C91</v>
      </c>
      <c r="C93" s="5">
        <f>EDATE(A93,1.5)</f>
        <v>44242</v>
      </c>
      <c r="D93" s="10" t="str">
        <f t="shared" si="2"/>
        <v>=EDATE(A93,1.5)</v>
      </c>
      <c r="E93" s="15" t="s">
        <v>85</v>
      </c>
      <c r="F93" s="22" t="s">
        <v>82</v>
      </c>
      <c r="G93" s="15" t="s">
        <v>60</v>
      </c>
      <c r="H93" s="15" t="s">
        <v>83</v>
      </c>
      <c r="I93" s="16"/>
    </row>
    <row r="94" ht="12.75" customHeight="1">
      <c r="A94" s="3">
        <f t="shared" si="23"/>
        <v>44536</v>
      </c>
      <c r="B94" s="10" t="str">
        <f t="shared" si="1"/>
        <v>=C92</v>
      </c>
      <c r="C94" s="5">
        <f>A94+21</f>
        <v>44557</v>
      </c>
      <c r="D94" s="10" t="str">
        <f t="shared" si="2"/>
        <v>=A94+21</v>
      </c>
      <c r="E94" s="19"/>
      <c r="F94" s="22" t="s">
        <v>82</v>
      </c>
      <c r="G94" s="15" t="s">
        <v>60</v>
      </c>
      <c r="H94" s="15" t="s">
        <v>83</v>
      </c>
      <c r="I94" s="16"/>
    </row>
    <row r="95" ht="12.75" customHeight="1">
      <c r="A95" s="3">
        <f t="shared" si="23"/>
        <v>44242</v>
      </c>
      <c r="B95" s="10" t="str">
        <f t="shared" si="1"/>
        <v>=C93</v>
      </c>
      <c r="C95" s="5">
        <f>EDATE(A95,1.5)</f>
        <v>44270</v>
      </c>
      <c r="D95" s="10" t="str">
        <f t="shared" si="2"/>
        <v>=EDATE(A95,1.5)</v>
      </c>
      <c r="E95" s="15" t="s">
        <v>86</v>
      </c>
      <c r="F95" s="22" t="s">
        <v>82</v>
      </c>
      <c r="G95" s="15" t="s">
        <v>28</v>
      </c>
      <c r="H95" s="15" t="s">
        <v>87</v>
      </c>
      <c r="I95" s="16"/>
    </row>
    <row r="96" ht="12.75" customHeight="1">
      <c r="A96" s="3">
        <f t="shared" si="23"/>
        <v>44557</v>
      </c>
      <c r="B96" s="10" t="str">
        <f t="shared" si="1"/>
        <v>=C94</v>
      </c>
      <c r="C96" s="5">
        <f>A96+21</f>
        <v>44578</v>
      </c>
      <c r="D96" s="10" t="str">
        <f t="shared" si="2"/>
        <v>=A96+21</v>
      </c>
      <c r="E96" s="19"/>
      <c r="F96" s="22" t="s">
        <v>82</v>
      </c>
      <c r="G96" s="15" t="s">
        <v>28</v>
      </c>
      <c r="H96" s="15" t="s">
        <v>87</v>
      </c>
      <c r="I96" s="16"/>
    </row>
    <row r="97" ht="12.75" customHeight="1">
      <c r="A97" s="3">
        <f t="shared" si="23"/>
        <v>44270</v>
      </c>
      <c r="B97" s="10" t="str">
        <f t="shared" si="1"/>
        <v>=C95</v>
      </c>
      <c r="C97" s="5">
        <f>EDATE(A97,2)</f>
        <v>44331</v>
      </c>
      <c r="D97" s="10" t="str">
        <f t="shared" si="2"/>
        <v>=EDATE(A97,2)</v>
      </c>
      <c r="E97" s="15" t="s">
        <v>88</v>
      </c>
      <c r="F97" s="22" t="s">
        <v>82</v>
      </c>
      <c r="G97" s="15" t="s">
        <v>61</v>
      </c>
      <c r="H97" s="15" t="s">
        <v>87</v>
      </c>
      <c r="I97" s="16"/>
    </row>
    <row r="98" ht="12.75" customHeight="1">
      <c r="A98" s="3">
        <f t="shared" si="23"/>
        <v>44578</v>
      </c>
      <c r="B98" s="10" t="str">
        <f t="shared" si="1"/>
        <v>=C96</v>
      </c>
      <c r="C98" s="5">
        <f>A98+21</f>
        <v>44599</v>
      </c>
      <c r="D98" s="10" t="str">
        <f t="shared" si="2"/>
        <v>=A98+21</v>
      </c>
      <c r="E98" s="19"/>
      <c r="F98" s="22" t="s">
        <v>82</v>
      </c>
      <c r="G98" s="15" t="s">
        <v>61</v>
      </c>
      <c r="H98" s="15" t="s">
        <v>87</v>
      </c>
      <c r="I98" s="16"/>
    </row>
    <row r="99" ht="12.75" customHeight="1">
      <c r="A99" s="3">
        <f t="shared" si="23"/>
        <v>44331</v>
      </c>
      <c r="B99" s="10" t="str">
        <f t="shared" si="1"/>
        <v>=C97</v>
      </c>
      <c r="C99" s="5">
        <f>EDATE(A99,1.5)</f>
        <v>44362</v>
      </c>
      <c r="D99" s="10" t="str">
        <f t="shared" si="2"/>
        <v>=EDATE(A99,1.5)</v>
      </c>
      <c r="E99" s="15" t="s">
        <v>89</v>
      </c>
      <c r="F99" s="22" t="s">
        <v>82</v>
      </c>
      <c r="G99" s="15" t="s">
        <v>62</v>
      </c>
      <c r="H99" s="15" t="s">
        <v>90</v>
      </c>
      <c r="I99" s="13"/>
    </row>
    <row r="100" ht="12.75" customHeight="1">
      <c r="A100" s="3">
        <f t="shared" si="23"/>
        <v>44599</v>
      </c>
      <c r="B100" s="10" t="str">
        <f t="shared" si="1"/>
        <v>=C98</v>
      </c>
      <c r="C100" s="5">
        <f>A100+21</f>
        <v>44620</v>
      </c>
      <c r="D100" s="10" t="str">
        <f t="shared" si="2"/>
        <v>=A100+21</v>
      </c>
      <c r="E100" s="14"/>
      <c r="F100" s="22" t="s">
        <v>82</v>
      </c>
      <c r="G100" s="15" t="s">
        <v>62</v>
      </c>
      <c r="H100" s="15" t="s">
        <v>90</v>
      </c>
      <c r="I100" s="13"/>
    </row>
    <row r="101" ht="12.75" customHeight="1">
      <c r="A101" s="3">
        <f t="shared" ref="A101:A102" si="24">C89</f>
        <v>44180</v>
      </c>
      <c r="B101" s="10" t="str">
        <f t="shared" si="1"/>
        <v>=C89</v>
      </c>
      <c r="C101" s="5">
        <f t="shared" ref="C101:C102" si="25">C99</f>
        <v>44362</v>
      </c>
      <c r="D101" s="10" t="str">
        <f t="shared" si="2"/>
        <v>=C99</v>
      </c>
      <c r="E101" s="19" t="s">
        <v>91</v>
      </c>
      <c r="F101" s="22" t="s">
        <v>82</v>
      </c>
      <c r="G101" s="15" t="s">
        <v>92</v>
      </c>
      <c r="H101" s="19"/>
      <c r="I101" s="16"/>
    </row>
    <row r="102" ht="12.75" customHeight="1">
      <c r="A102" s="3">
        <f t="shared" si="24"/>
        <v>44515</v>
      </c>
      <c r="B102" s="10" t="str">
        <f t="shared" si="1"/>
        <v>=C90</v>
      </c>
      <c r="C102" s="5">
        <f t="shared" si="25"/>
        <v>44620</v>
      </c>
      <c r="D102" s="10" t="str">
        <f t="shared" si="2"/>
        <v>=C100</v>
      </c>
      <c r="E102" s="15"/>
      <c r="F102" s="22" t="s">
        <v>82</v>
      </c>
      <c r="G102" s="15" t="s">
        <v>93</v>
      </c>
      <c r="H102" s="19"/>
      <c r="I102" s="16"/>
    </row>
    <row r="103" ht="12.75" customHeight="1">
      <c r="A103" s="3"/>
      <c r="B103" s="10" t="str">
        <f t="shared" si="1"/>
        <v>&lt;&gt;</v>
      </c>
      <c r="C103" s="5"/>
      <c r="D103" s="10" t="str">
        <f t="shared" si="2"/>
        <v>&lt;&gt;</v>
      </c>
      <c r="E103" s="12" t="s">
        <v>94</v>
      </c>
      <c r="F103" s="22" t="s">
        <v>95</v>
      </c>
      <c r="G103" s="19"/>
      <c r="H103" s="19"/>
      <c r="I103" s="16"/>
    </row>
    <row r="104" ht="12.75" customHeight="1">
      <c r="A104" s="3">
        <f>C101</f>
        <v>44362</v>
      </c>
      <c r="B104" s="10" t="str">
        <f t="shared" si="1"/>
        <v>=C101</v>
      </c>
      <c r="C104" s="5">
        <f>A104+14</f>
        <v>44376</v>
      </c>
      <c r="D104" s="10" t="str">
        <f t="shared" si="2"/>
        <v>=A104+14</v>
      </c>
      <c r="E104" s="15" t="s">
        <v>96</v>
      </c>
      <c r="F104" s="22" t="s">
        <v>95</v>
      </c>
      <c r="G104" s="15"/>
      <c r="H104" s="15" t="s">
        <v>97</v>
      </c>
      <c r="I104" s="16"/>
    </row>
    <row r="105" ht="12.75" customHeight="1">
      <c r="A105" s="3">
        <f>C100</f>
        <v>44620</v>
      </c>
      <c r="B105" s="10" t="str">
        <f t="shared" si="1"/>
        <v>=C100</v>
      </c>
      <c r="C105" s="5">
        <f>A105+21</f>
        <v>44641</v>
      </c>
      <c r="D105" s="10" t="str">
        <f t="shared" si="2"/>
        <v>=A105+21</v>
      </c>
      <c r="E105" s="15"/>
      <c r="F105" s="22" t="s">
        <v>95</v>
      </c>
      <c r="G105" s="19"/>
      <c r="H105" s="15" t="s">
        <v>97</v>
      </c>
      <c r="I105" s="16"/>
    </row>
    <row r="106" ht="12.75" customHeight="1">
      <c r="A106" s="3">
        <f t="shared" ref="A106:A119" si="26">C104</f>
        <v>44376</v>
      </c>
      <c r="B106" s="10" t="str">
        <f t="shared" si="1"/>
        <v>=C104</v>
      </c>
      <c r="C106" s="5">
        <f>A106+14</f>
        <v>44390</v>
      </c>
      <c r="D106" s="10" t="str">
        <f t="shared" si="2"/>
        <v>=A106+14</v>
      </c>
      <c r="E106" s="15" t="s">
        <v>98</v>
      </c>
      <c r="F106" s="22" t="s">
        <v>95</v>
      </c>
      <c r="G106" s="15"/>
      <c r="H106" s="15" t="s">
        <v>97</v>
      </c>
      <c r="I106" s="16"/>
    </row>
    <row r="107" ht="12.75" customHeight="1">
      <c r="A107" s="3">
        <f t="shared" si="26"/>
        <v>44641</v>
      </c>
      <c r="B107" s="10" t="str">
        <f t="shared" si="1"/>
        <v>=C105</v>
      </c>
      <c r="C107" s="5">
        <f>A107+21</f>
        <v>44662</v>
      </c>
      <c r="D107" s="10" t="str">
        <f t="shared" si="2"/>
        <v>=A107+21</v>
      </c>
      <c r="E107" s="15"/>
      <c r="F107" s="22" t="s">
        <v>95</v>
      </c>
      <c r="G107" s="15"/>
      <c r="H107" s="15" t="s">
        <v>97</v>
      </c>
      <c r="I107" s="16"/>
    </row>
    <row r="108" ht="12.75" customHeight="1">
      <c r="A108" s="3">
        <f t="shared" si="26"/>
        <v>44390</v>
      </c>
      <c r="B108" s="10" t="str">
        <f t="shared" si="1"/>
        <v>=C106</v>
      </c>
      <c r="C108" s="5">
        <f>A108+14</f>
        <v>44404</v>
      </c>
      <c r="D108" s="10" t="str">
        <f t="shared" si="2"/>
        <v>=A108+14</v>
      </c>
      <c r="E108" s="15" t="s">
        <v>99</v>
      </c>
      <c r="F108" s="22" t="s">
        <v>95</v>
      </c>
      <c r="G108" s="15"/>
      <c r="H108" s="15" t="s">
        <v>97</v>
      </c>
      <c r="I108" s="16"/>
    </row>
    <row r="109" ht="12.75" customHeight="1">
      <c r="A109" s="3">
        <f t="shared" si="26"/>
        <v>44662</v>
      </c>
      <c r="B109" s="10" t="str">
        <f t="shared" si="1"/>
        <v>=C107</v>
      </c>
      <c r="C109" s="5">
        <f>A109+21</f>
        <v>44683</v>
      </c>
      <c r="D109" s="10" t="str">
        <f t="shared" si="2"/>
        <v>=A109+21</v>
      </c>
      <c r="E109" s="15"/>
      <c r="F109" s="22" t="s">
        <v>95</v>
      </c>
      <c r="G109" s="15"/>
      <c r="H109" s="15" t="s">
        <v>97</v>
      </c>
      <c r="I109" s="16"/>
    </row>
    <row r="110" ht="12.75" customHeight="1">
      <c r="A110" s="3">
        <f t="shared" si="26"/>
        <v>44404</v>
      </c>
      <c r="B110" s="10" t="str">
        <f t="shared" si="1"/>
        <v>=C108</v>
      </c>
      <c r="C110" s="5">
        <f>A110+14</f>
        <v>44418</v>
      </c>
      <c r="D110" s="10" t="str">
        <f t="shared" si="2"/>
        <v>=A110+14</v>
      </c>
      <c r="E110" s="15" t="s">
        <v>100</v>
      </c>
      <c r="F110" s="22" t="s">
        <v>95</v>
      </c>
      <c r="G110" s="15"/>
      <c r="H110" s="15" t="s">
        <v>97</v>
      </c>
      <c r="I110" s="16"/>
    </row>
    <row r="111" ht="12.75" customHeight="1">
      <c r="A111" s="3">
        <f t="shared" si="26"/>
        <v>44683</v>
      </c>
      <c r="B111" s="10" t="str">
        <f t="shared" si="1"/>
        <v>=C109</v>
      </c>
      <c r="C111" s="5">
        <f>A111+21</f>
        <v>44704</v>
      </c>
      <c r="D111" s="10" t="str">
        <f t="shared" si="2"/>
        <v>=A111+21</v>
      </c>
      <c r="E111" s="15"/>
      <c r="F111" s="22" t="s">
        <v>95</v>
      </c>
      <c r="G111" s="19"/>
      <c r="H111" s="15" t="s">
        <v>97</v>
      </c>
      <c r="I111" s="16"/>
    </row>
    <row r="112" ht="12.75" customHeight="1">
      <c r="A112" s="3">
        <f t="shared" si="26"/>
        <v>44418</v>
      </c>
      <c r="B112" s="10" t="str">
        <f t="shared" si="1"/>
        <v>=C110</v>
      </c>
      <c r="C112" s="5">
        <f>A112+14</f>
        <v>44432</v>
      </c>
      <c r="D112" s="10" t="str">
        <f t="shared" si="2"/>
        <v>=A112+14</v>
      </c>
      <c r="E112" s="15" t="s">
        <v>101</v>
      </c>
      <c r="F112" s="22" t="s">
        <v>95</v>
      </c>
      <c r="G112" s="15"/>
      <c r="H112" s="15" t="s">
        <v>97</v>
      </c>
      <c r="I112" s="16"/>
    </row>
    <row r="113" ht="12.75" customHeight="1">
      <c r="A113" s="3">
        <f t="shared" si="26"/>
        <v>44704</v>
      </c>
      <c r="B113" s="10" t="str">
        <f t="shared" si="1"/>
        <v>=C111</v>
      </c>
      <c r="C113" s="5">
        <f>A113+21</f>
        <v>44725</v>
      </c>
      <c r="D113" s="10" t="str">
        <f t="shared" si="2"/>
        <v>=A113+21</v>
      </c>
      <c r="E113" s="15"/>
      <c r="F113" s="22" t="s">
        <v>95</v>
      </c>
      <c r="G113" s="19"/>
      <c r="H113" s="15" t="s">
        <v>97</v>
      </c>
      <c r="I113" s="16"/>
    </row>
    <row r="114" ht="12.75" customHeight="1">
      <c r="A114" s="3">
        <f t="shared" si="26"/>
        <v>44432</v>
      </c>
      <c r="B114" s="10" t="str">
        <f t="shared" si="1"/>
        <v>=C112</v>
      </c>
      <c r="C114" s="5">
        <f>A114+14</f>
        <v>44446</v>
      </c>
      <c r="D114" s="10" t="str">
        <f t="shared" si="2"/>
        <v>=A114+14</v>
      </c>
      <c r="E114" s="15" t="s">
        <v>102</v>
      </c>
      <c r="F114" s="22" t="s">
        <v>95</v>
      </c>
      <c r="G114" s="15"/>
      <c r="H114" s="15" t="s">
        <v>97</v>
      </c>
      <c r="I114" s="16"/>
    </row>
    <row r="115" ht="12.75" customHeight="1">
      <c r="A115" s="3">
        <f t="shared" si="26"/>
        <v>44725</v>
      </c>
      <c r="B115" s="10" t="str">
        <f t="shared" si="1"/>
        <v>=C113</v>
      </c>
      <c r="C115" s="5">
        <f>A115+21</f>
        <v>44746</v>
      </c>
      <c r="D115" s="10" t="str">
        <f t="shared" si="2"/>
        <v>=A115+21</v>
      </c>
      <c r="E115" s="15"/>
      <c r="F115" s="22" t="s">
        <v>95</v>
      </c>
      <c r="G115" s="19"/>
      <c r="H115" s="15" t="s">
        <v>97</v>
      </c>
      <c r="I115" s="16"/>
    </row>
    <row r="116" ht="12.75" customHeight="1">
      <c r="A116" s="3">
        <f t="shared" si="26"/>
        <v>44446</v>
      </c>
      <c r="B116" s="10" t="str">
        <f t="shared" si="1"/>
        <v>=C114</v>
      </c>
      <c r="C116" s="5">
        <f>A116+14</f>
        <v>44460</v>
      </c>
      <c r="D116" s="10" t="str">
        <f t="shared" si="2"/>
        <v>=A116+14</v>
      </c>
      <c r="E116" s="15" t="s">
        <v>103</v>
      </c>
      <c r="F116" s="22" t="s">
        <v>95</v>
      </c>
      <c r="G116" s="15"/>
      <c r="H116" s="15" t="s">
        <v>97</v>
      </c>
      <c r="I116" s="16"/>
    </row>
    <row r="117" ht="12.75" customHeight="1">
      <c r="A117" s="3">
        <f t="shared" si="26"/>
        <v>44746</v>
      </c>
      <c r="B117" s="10" t="str">
        <f t="shared" si="1"/>
        <v>=C115</v>
      </c>
      <c r="C117" s="5">
        <f>A117+21</f>
        <v>44767</v>
      </c>
      <c r="D117" s="10" t="str">
        <f t="shared" si="2"/>
        <v>=A117+21</v>
      </c>
      <c r="E117" s="15"/>
      <c r="F117" s="22" t="s">
        <v>95</v>
      </c>
      <c r="G117" s="19"/>
      <c r="H117" s="15" t="s">
        <v>97</v>
      </c>
      <c r="I117" s="16"/>
    </row>
    <row r="118" ht="12.75" customHeight="1">
      <c r="A118" s="3">
        <f t="shared" si="26"/>
        <v>44460</v>
      </c>
      <c r="B118" s="10" t="str">
        <f t="shared" si="1"/>
        <v>=C116</v>
      </c>
      <c r="C118" s="5">
        <f>A118+14</f>
        <v>44474</v>
      </c>
      <c r="D118" s="10" t="str">
        <f t="shared" si="2"/>
        <v>=A118+14</v>
      </c>
      <c r="E118" s="15" t="s">
        <v>104</v>
      </c>
      <c r="F118" s="22" t="s">
        <v>95</v>
      </c>
      <c r="G118" s="15"/>
      <c r="H118" s="15" t="s">
        <v>97</v>
      </c>
      <c r="I118" s="16"/>
    </row>
    <row r="119" ht="12.75" customHeight="1">
      <c r="A119" s="3">
        <f t="shared" si="26"/>
        <v>44767</v>
      </c>
      <c r="B119" s="10" t="str">
        <f t="shared" si="1"/>
        <v>=C117</v>
      </c>
      <c r="C119" s="5">
        <f>A119+21</f>
        <v>44788</v>
      </c>
      <c r="D119" s="10" t="str">
        <f t="shared" si="2"/>
        <v>=A119+21</v>
      </c>
      <c r="E119" s="15"/>
      <c r="F119" s="22" t="s">
        <v>95</v>
      </c>
      <c r="G119" s="19"/>
      <c r="H119" s="15" t="s">
        <v>97</v>
      </c>
      <c r="I119" s="16"/>
    </row>
    <row r="120" ht="12.75" customHeight="1">
      <c r="A120" s="3"/>
      <c r="B120" s="10" t="str">
        <f t="shared" si="1"/>
        <v>&lt;&gt;</v>
      </c>
      <c r="C120" s="5"/>
      <c r="D120" s="10" t="str">
        <f t="shared" si="2"/>
        <v>&lt;&gt;</v>
      </c>
      <c r="E120" s="12" t="s">
        <v>105</v>
      </c>
      <c r="F120" s="16"/>
      <c r="G120" s="19"/>
      <c r="H120" s="19"/>
      <c r="I120" s="16"/>
    </row>
    <row r="121" ht="12.75" customHeight="1">
      <c r="A121" s="3">
        <f>C121-21</f>
        <v>44767</v>
      </c>
      <c r="B121" s="10" t="str">
        <f t="shared" si="1"/>
        <v>=C121-21</v>
      </c>
      <c r="C121" s="5">
        <f>C119</f>
        <v>44788</v>
      </c>
      <c r="D121" s="10" t="str">
        <f t="shared" si="2"/>
        <v>=C119</v>
      </c>
      <c r="E121" s="15" t="s">
        <v>106</v>
      </c>
      <c r="F121" s="22" t="s">
        <v>107</v>
      </c>
      <c r="G121" s="19"/>
      <c r="H121" s="15" t="s">
        <v>108</v>
      </c>
      <c r="I121" s="16"/>
    </row>
    <row r="122" ht="12.75" customHeight="1">
      <c r="A122" s="3">
        <f>C119</f>
        <v>44788</v>
      </c>
      <c r="B122" s="10" t="str">
        <f t="shared" si="1"/>
        <v>=C119</v>
      </c>
      <c r="C122" s="5">
        <f t="shared" ref="C122:C145" si="27">A122+7</f>
        <v>44795</v>
      </c>
      <c r="D122" s="10" t="str">
        <f t="shared" si="2"/>
        <v>=A122+7</v>
      </c>
      <c r="E122" s="15" t="s">
        <v>109</v>
      </c>
      <c r="F122" s="22" t="s">
        <v>107</v>
      </c>
      <c r="G122" s="19"/>
      <c r="H122" s="15" t="s">
        <v>110</v>
      </c>
      <c r="I122" s="16"/>
    </row>
    <row r="123" ht="12.75" customHeight="1">
      <c r="A123" s="25">
        <f t="shared" ref="A123:A127" si="28">C140</f>
        <v>44816</v>
      </c>
      <c r="B123" s="10" t="str">
        <f t="shared" si="1"/>
        <v>=C140</v>
      </c>
      <c r="C123" s="25">
        <f t="shared" si="27"/>
        <v>44823</v>
      </c>
      <c r="D123" s="10" t="str">
        <f t="shared" si="2"/>
        <v>=A123+7</v>
      </c>
      <c r="E123" s="30"/>
      <c r="F123" s="22" t="s">
        <v>107</v>
      </c>
      <c r="G123" s="19"/>
      <c r="H123" s="15" t="s">
        <v>110</v>
      </c>
      <c r="I123" s="16"/>
    </row>
    <row r="124" ht="12.75" customHeight="1">
      <c r="A124" s="5">
        <f t="shared" si="28"/>
        <v>44844</v>
      </c>
      <c r="B124" s="10" t="str">
        <f t="shared" si="1"/>
        <v>=C141</v>
      </c>
      <c r="C124" s="5">
        <f t="shared" si="27"/>
        <v>44851</v>
      </c>
      <c r="D124" s="10" t="str">
        <f t="shared" si="2"/>
        <v>=A124+7</v>
      </c>
      <c r="E124" s="15"/>
      <c r="F124" s="22" t="s">
        <v>107</v>
      </c>
      <c r="G124" s="19"/>
      <c r="H124" s="15" t="s">
        <v>110</v>
      </c>
      <c r="I124" s="16"/>
    </row>
    <row r="125" ht="12.75" customHeight="1">
      <c r="A125" s="5">
        <f t="shared" si="28"/>
        <v>44872</v>
      </c>
      <c r="B125" s="10" t="str">
        <f t="shared" si="1"/>
        <v>=C142</v>
      </c>
      <c r="C125" s="5">
        <f t="shared" si="27"/>
        <v>44879</v>
      </c>
      <c r="D125" s="10" t="str">
        <f t="shared" si="2"/>
        <v>=A125+7</v>
      </c>
      <c r="E125" s="15"/>
      <c r="F125" s="22" t="s">
        <v>107</v>
      </c>
      <c r="G125" s="19"/>
      <c r="H125" s="15" t="s">
        <v>110</v>
      </c>
      <c r="I125" s="16"/>
    </row>
    <row r="126" ht="12.75" customHeight="1">
      <c r="A126" s="5">
        <f t="shared" si="28"/>
        <v>44900</v>
      </c>
      <c r="B126" s="10" t="str">
        <f t="shared" si="1"/>
        <v>=C143</v>
      </c>
      <c r="C126" s="5">
        <f t="shared" si="27"/>
        <v>44907</v>
      </c>
      <c r="D126" s="10" t="str">
        <f t="shared" si="2"/>
        <v>=A126+7</v>
      </c>
      <c r="E126" s="15"/>
      <c r="F126" s="22" t="s">
        <v>107</v>
      </c>
      <c r="G126" s="19"/>
      <c r="H126" s="15" t="s">
        <v>110</v>
      </c>
      <c r="I126" s="16"/>
    </row>
    <row r="127" ht="12.75" customHeight="1">
      <c r="A127" s="5">
        <f t="shared" si="28"/>
        <v>44928</v>
      </c>
      <c r="B127" s="10" t="str">
        <f t="shared" si="1"/>
        <v>=C144</v>
      </c>
      <c r="C127" s="21">
        <f t="shared" si="27"/>
        <v>44935</v>
      </c>
      <c r="D127" s="10" t="str">
        <f t="shared" si="2"/>
        <v>=A127+7</v>
      </c>
      <c r="E127" s="15"/>
      <c r="F127" s="22" t="s">
        <v>107</v>
      </c>
      <c r="G127" s="19"/>
      <c r="H127" s="15" t="s">
        <v>110</v>
      </c>
      <c r="I127" s="16"/>
    </row>
    <row r="128" ht="12.75" customHeight="1">
      <c r="A128" s="3">
        <f t="shared" ref="A128:A145" si="29">C122</f>
        <v>44795</v>
      </c>
      <c r="B128" s="10" t="str">
        <f t="shared" si="1"/>
        <v>=C122</v>
      </c>
      <c r="C128" s="5">
        <f t="shared" si="27"/>
        <v>44802</v>
      </c>
      <c r="D128" s="10" t="str">
        <f t="shared" si="2"/>
        <v>=A128+7</v>
      </c>
      <c r="E128" s="15" t="s">
        <v>111</v>
      </c>
      <c r="F128" s="22" t="s">
        <v>107</v>
      </c>
      <c r="G128" s="19"/>
      <c r="H128" s="15" t="s">
        <v>110</v>
      </c>
      <c r="I128" s="16"/>
    </row>
    <row r="129" ht="12.75" customHeight="1">
      <c r="A129" s="25">
        <f t="shared" si="29"/>
        <v>44823</v>
      </c>
      <c r="B129" s="10" t="str">
        <f t="shared" si="1"/>
        <v>=C123</v>
      </c>
      <c r="C129" s="25">
        <f t="shared" si="27"/>
        <v>44830</v>
      </c>
      <c r="D129" s="10" t="str">
        <f t="shared" si="2"/>
        <v>=A129+7</v>
      </c>
      <c r="E129" s="30"/>
      <c r="F129" s="22" t="s">
        <v>107</v>
      </c>
      <c r="G129" s="19"/>
      <c r="H129" s="15" t="s">
        <v>110</v>
      </c>
      <c r="I129" s="16"/>
    </row>
    <row r="130" ht="12.75" customHeight="1">
      <c r="A130" s="5">
        <f t="shared" si="29"/>
        <v>44851</v>
      </c>
      <c r="B130" s="10" t="str">
        <f t="shared" si="1"/>
        <v>=C124</v>
      </c>
      <c r="C130" s="5">
        <f t="shared" si="27"/>
        <v>44858</v>
      </c>
      <c r="D130" s="10" t="str">
        <f t="shared" si="2"/>
        <v>=A130+7</v>
      </c>
      <c r="E130" s="15"/>
      <c r="F130" s="22" t="s">
        <v>107</v>
      </c>
      <c r="G130" s="19"/>
      <c r="H130" s="15" t="s">
        <v>110</v>
      </c>
      <c r="I130" s="16"/>
    </row>
    <row r="131" ht="12.75" customHeight="1">
      <c r="A131" s="5">
        <f t="shared" si="29"/>
        <v>44879</v>
      </c>
      <c r="B131" s="10" t="str">
        <f t="shared" si="1"/>
        <v>=C125</v>
      </c>
      <c r="C131" s="5">
        <f t="shared" si="27"/>
        <v>44886</v>
      </c>
      <c r="D131" s="10" t="str">
        <f t="shared" si="2"/>
        <v>=A131+7</v>
      </c>
      <c r="E131" s="15"/>
      <c r="F131" s="22" t="s">
        <v>107</v>
      </c>
      <c r="G131" s="19"/>
      <c r="H131" s="15" t="s">
        <v>110</v>
      </c>
      <c r="I131" s="16"/>
    </row>
    <row r="132" ht="12.75" customHeight="1">
      <c r="A132" s="5">
        <f t="shared" si="29"/>
        <v>44907</v>
      </c>
      <c r="B132" s="10" t="str">
        <f t="shared" si="1"/>
        <v>=C126</v>
      </c>
      <c r="C132" s="5">
        <f t="shared" si="27"/>
        <v>44914</v>
      </c>
      <c r="D132" s="10" t="str">
        <f t="shared" si="2"/>
        <v>=A132+7</v>
      </c>
      <c r="E132" s="15"/>
      <c r="F132" s="22" t="s">
        <v>107</v>
      </c>
      <c r="G132" s="19"/>
      <c r="H132" s="15" t="s">
        <v>110</v>
      </c>
      <c r="I132" s="16"/>
    </row>
    <row r="133" ht="12.75" customHeight="1">
      <c r="A133" s="5">
        <f t="shared" si="29"/>
        <v>44935</v>
      </c>
      <c r="B133" s="10" t="str">
        <f t="shared" si="1"/>
        <v>=C127</v>
      </c>
      <c r="C133" s="5">
        <f t="shared" si="27"/>
        <v>44942</v>
      </c>
      <c r="D133" s="10" t="str">
        <f t="shared" si="2"/>
        <v>=A133+7</v>
      </c>
      <c r="E133" s="15"/>
      <c r="F133" s="22" t="s">
        <v>107</v>
      </c>
      <c r="G133" s="19"/>
      <c r="H133" s="15" t="s">
        <v>110</v>
      </c>
      <c r="I133" s="16"/>
    </row>
    <row r="134" ht="12.75" customHeight="1">
      <c r="A134" s="3">
        <f t="shared" si="29"/>
        <v>44802</v>
      </c>
      <c r="B134" s="10" t="str">
        <f t="shared" si="1"/>
        <v>=C128</v>
      </c>
      <c r="C134" s="5">
        <f t="shared" si="27"/>
        <v>44809</v>
      </c>
      <c r="D134" s="10" t="str">
        <f t="shared" si="2"/>
        <v>=A134+7</v>
      </c>
      <c r="E134" s="15" t="s">
        <v>112</v>
      </c>
      <c r="F134" s="22" t="s">
        <v>107</v>
      </c>
      <c r="G134" s="19"/>
      <c r="H134" s="15" t="s">
        <v>110</v>
      </c>
      <c r="I134" s="16"/>
    </row>
    <row r="135" ht="12.75" customHeight="1">
      <c r="A135" s="25">
        <f t="shared" si="29"/>
        <v>44830</v>
      </c>
      <c r="B135" s="10" t="str">
        <f t="shared" si="1"/>
        <v>=C129</v>
      </c>
      <c r="C135" s="25">
        <f t="shared" si="27"/>
        <v>44837</v>
      </c>
      <c r="D135" s="10" t="str">
        <f t="shared" si="2"/>
        <v>=A135+7</v>
      </c>
      <c r="E135" s="30"/>
      <c r="F135" s="22" t="s">
        <v>107</v>
      </c>
      <c r="G135" s="19"/>
      <c r="H135" s="15" t="s">
        <v>110</v>
      </c>
      <c r="I135" s="16"/>
    </row>
    <row r="136" ht="12.75" customHeight="1">
      <c r="A136" s="5">
        <f t="shared" si="29"/>
        <v>44858</v>
      </c>
      <c r="B136" s="10" t="str">
        <f t="shared" si="1"/>
        <v>=C130</v>
      </c>
      <c r="C136" s="5">
        <f t="shared" si="27"/>
        <v>44865</v>
      </c>
      <c r="D136" s="10" t="str">
        <f t="shared" si="2"/>
        <v>=A136+7</v>
      </c>
      <c r="E136" s="15"/>
      <c r="F136" s="22" t="s">
        <v>107</v>
      </c>
      <c r="G136" s="19"/>
      <c r="H136" s="15" t="s">
        <v>110</v>
      </c>
      <c r="I136" s="16"/>
    </row>
    <row r="137" ht="12.75" customHeight="1">
      <c r="A137" s="5">
        <f t="shared" si="29"/>
        <v>44886</v>
      </c>
      <c r="B137" s="10" t="str">
        <f t="shared" si="1"/>
        <v>=C131</v>
      </c>
      <c r="C137" s="5">
        <f t="shared" si="27"/>
        <v>44893</v>
      </c>
      <c r="D137" s="10" t="str">
        <f t="shared" si="2"/>
        <v>=A137+7</v>
      </c>
      <c r="E137" s="15"/>
      <c r="F137" s="22" t="s">
        <v>107</v>
      </c>
      <c r="G137" s="19"/>
      <c r="H137" s="15" t="s">
        <v>110</v>
      </c>
      <c r="I137" s="16"/>
    </row>
    <row r="138" ht="12.75" customHeight="1">
      <c r="A138" s="5">
        <f t="shared" si="29"/>
        <v>44914</v>
      </c>
      <c r="B138" s="10" t="str">
        <f t="shared" si="1"/>
        <v>=C132</v>
      </c>
      <c r="C138" s="5">
        <f t="shared" si="27"/>
        <v>44921</v>
      </c>
      <c r="D138" s="10" t="str">
        <f t="shared" si="2"/>
        <v>=A138+7</v>
      </c>
      <c r="E138" s="15"/>
      <c r="F138" s="22" t="s">
        <v>107</v>
      </c>
      <c r="G138" s="19"/>
      <c r="H138" s="15" t="s">
        <v>110</v>
      </c>
      <c r="I138" s="16"/>
    </row>
    <row r="139" ht="12.75" customHeight="1">
      <c r="A139" s="5">
        <f t="shared" si="29"/>
        <v>44942</v>
      </c>
      <c r="B139" s="10" t="str">
        <f t="shared" si="1"/>
        <v>=C133</v>
      </c>
      <c r="C139" s="5">
        <f t="shared" si="27"/>
        <v>44949</v>
      </c>
      <c r="D139" s="10" t="str">
        <f t="shared" si="2"/>
        <v>=A139+7</v>
      </c>
      <c r="E139" s="15"/>
      <c r="F139" s="22" t="s">
        <v>107</v>
      </c>
      <c r="G139" s="19"/>
      <c r="H139" s="15" t="s">
        <v>110</v>
      </c>
      <c r="I139" s="16"/>
    </row>
    <row r="140" ht="12.75" customHeight="1">
      <c r="A140" s="3">
        <f t="shared" si="29"/>
        <v>44809</v>
      </c>
      <c r="B140" s="10" t="str">
        <f t="shared" si="1"/>
        <v>=C134</v>
      </c>
      <c r="C140" s="5">
        <f t="shared" si="27"/>
        <v>44816</v>
      </c>
      <c r="D140" s="10" t="str">
        <f t="shared" si="2"/>
        <v>=A140+7</v>
      </c>
      <c r="E140" s="15" t="s">
        <v>113</v>
      </c>
      <c r="F140" s="22" t="s">
        <v>107</v>
      </c>
      <c r="G140" s="19"/>
      <c r="H140" s="15" t="s">
        <v>110</v>
      </c>
      <c r="I140" s="16"/>
    </row>
    <row r="141" ht="12.75" customHeight="1">
      <c r="A141" s="3">
        <f t="shared" si="29"/>
        <v>44837</v>
      </c>
      <c r="B141" s="10" t="str">
        <f t="shared" si="1"/>
        <v>=C135</v>
      </c>
      <c r="C141" s="5">
        <f t="shared" si="27"/>
        <v>44844</v>
      </c>
      <c r="D141" s="10" t="str">
        <f t="shared" si="2"/>
        <v>=A141+7</v>
      </c>
      <c r="E141" s="19"/>
      <c r="F141" s="22" t="s">
        <v>107</v>
      </c>
      <c r="G141" s="19"/>
      <c r="H141" s="15" t="s">
        <v>110</v>
      </c>
      <c r="I141" s="16"/>
    </row>
    <row r="142" ht="12.75" customHeight="1">
      <c r="A142" s="3">
        <f t="shared" si="29"/>
        <v>44865</v>
      </c>
      <c r="B142" s="10" t="str">
        <f t="shared" si="1"/>
        <v>=C136</v>
      </c>
      <c r="C142" s="5">
        <f t="shared" si="27"/>
        <v>44872</v>
      </c>
      <c r="D142" s="10" t="str">
        <f t="shared" si="2"/>
        <v>=A142+7</v>
      </c>
      <c r="E142" s="19"/>
      <c r="F142" s="22" t="s">
        <v>107</v>
      </c>
      <c r="G142" s="19"/>
      <c r="H142" s="15" t="s">
        <v>110</v>
      </c>
      <c r="I142" s="16"/>
    </row>
    <row r="143" ht="12.75" customHeight="1">
      <c r="A143" s="3">
        <f t="shared" si="29"/>
        <v>44893</v>
      </c>
      <c r="B143" s="10" t="str">
        <f t="shared" si="1"/>
        <v>=C137</v>
      </c>
      <c r="C143" s="5">
        <f t="shared" si="27"/>
        <v>44900</v>
      </c>
      <c r="D143" s="10" t="str">
        <f t="shared" si="2"/>
        <v>=A143+7</v>
      </c>
      <c r="E143" s="19"/>
      <c r="F143" s="22" t="s">
        <v>107</v>
      </c>
      <c r="G143" s="19"/>
      <c r="H143" s="15" t="s">
        <v>110</v>
      </c>
      <c r="I143" s="16"/>
    </row>
    <row r="144" ht="12.75" customHeight="1">
      <c r="A144" s="3">
        <f t="shared" si="29"/>
        <v>44921</v>
      </c>
      <c r="B144" s="10" t="str">
        <f t="shared" si="1"/>
        <v>=C138</v>
      </c>
      <c r="C144" s="5">
        <f t="shared" si="27"/>
        <v>44928</v>
      </c>
      <c r="D144" s="10" t="str">
        <f t="shared" si="2"/>
        <v>=A144+7</v>
      </c>
      <c r="E144" s="19"/>
      <c r="F144" s="22" t="s">
        <v>107</v>
      </c>
      <c r="G144" s="19"/>
      <c r="H144" s="15" t="s">
        <v>110</v>
      </c>
      <c r="I144" s="16"/>
    </row>
    <row r="145" ht="12.75" customHeight="1">
      <c r="A145" s="3">
        <f t="shared" si="29"/>
        <v>44949</v>
      </c>
      <c r="B145" s="10" t="str">
        <f t="shared" si="1"/>
        <v>=C139</v>
      </c>
      <c r="C145" s="5">
        <f t="shared" si="27"/>
        <v>44956</v>
      </c>
      <c r="D145" s="10" t="str">
        <f t="shared" si="2"/>
        <v>=A145+7</v>
      </c>
      <c r="E145" s="19"/>
      <c r="F145" s="22" t="s">
        <v>107</v>
      </c>
      <c r="G145" s="19"/>
      <c r="H145" s="15" t="s">
        <v>110</v>
      </c>
      <c r="I145" s="16"/>
    </row>
    <row r="146" ht="12.75" customHeight="1">
      <c r="A146" s="3"/>
      <c r="B146" s="10" t="str">
        <f t="shared" si="1"/>
        <v>&lt;&gt;</v>
      </c>
      <c r="C146" s="25"/>
      <c r="D146" s="10" t="str">
        <f t="shared" si="2"/>
        <v>&lt;&gt;</v>
      </c>
      <c r="E146" s="28" t="s">
        <v>114</v>
      </c>
      <c r="F146" s="16"/>
      <c r="G146" s="19"/>
      <c r="H146" s="19"/>
      <c r="I146" s="16" t="s">
        <v>115</v>
      </c>
    </row>
    <row r="147" ht="12.75" customHeight="1">
      <c r="A147" s="20">
        <v>44105.0</v>
      </c>
      <c r="B147" s="10" t="str">
        <f t="shared" si="1"/>
        <v>&lt;&gt;</v>
      </c>
      <c r="C147" s="21">
        <f>edate(A147,2)</f>
        <v>44166</v>
      </c>
      <c r="D147" s="10" t="str">
        <f t="shared" si="2"/>
        <v>=edate(A147,2)</v>
      </c>
      <c r="E147" s="19" t="s">
        <v>116</v>
      </c>
      <c r="F147" s="22" t="s">
        <v>61</v>
      </c>
      <c r="G147" s="19"/>
      <c r="H147" s="31" t="s">
        <v>117</v>
      </c>
      <c r="I147" s="16"/>
    </row>
    <row r="148" ht="12.75" customHeight="1">
      <c r="A148" s="20">
        <f>C147</f>
        <v>44166</v>
      </c>
      <c r="B148" s="10" t="str">
        <f t="shared" si="1"/>
        <v>=C147</v>
      </c>
      <c r="C148" s="5">
        <f>A149</f>
        <v>44317</v>
      </c>
      <c r="D148" s="10" t="str">
        <f t="shared" si="2"/>
        <v>=A149</v>
      </c>
      <c r="E148" s="19" t="s">
        <v>118</v>
      </c>
      <c r="F148" s="22" t="s">
        <v>61</v>
      </c>
      <c r="G148" s="19"/>
      <c r="H148" s="15" t="s">
        <v>117</v>
      </c>
      <c r="I148" s="16"/>
    </row>
    <row r="149" ht="12.75" customHeight="1">
      <c r="A149" s="3">
        <f>edate(C149,-3)</f>
        <v>44317</v>
      </c>
      <c r="B149" s="10" t="str">
        <f t="shared" si="1"/>
        <v>=edate(C149,-3)</v>
      </c>
      <c r="C149" s="21">
        <v>44409.0</v>
      </c>
      <c r="D149" s="10" t="str">
        <f t="shared" si="2"/>
        <v>&lt;&gt;</v>
      </c>
      <c r="E149" s="15" t="s">
        <v>119</v>
      </c>
      <c r="F149" s="22" t="s">
        <v>61</v>
      </c>
      <c r="G149" s="19"/>
      <c r="H149" s="15" t="s">
        <v>117</v>
      </c>
      <c r="I149" s="16"/>
    </row>
    <row r="150" ht="12.75" customHeight="1">
      <c r="A150" s="20">
        <f>C149</f>
        <v>44409</v>
      </c>
      <c r="B150" s="10" t="str">
        <f t="shared" si="1"/>
        <v>=C149</v>
      </c>
      <c r="C150" s="5">
        <f>A151</f>
        <v>44470</v>
      </c>
      <c r="D150" s="10" t="str">
        <f t="shared" si="2"/>
        <v>=A151</v>
      </c>
      <c r="E150" s="19" t="s">
        <v>120</v>
      </c>
      <c r="F150" s="22" t="s">
        <v>61</v>
      </c>
      <c r="G150" s="19"/>
      <c r="H150" s="31" t="s">
        <v>117</v>
      </c>
      <c r="I150" s="16"/>
    </row>
    <row r="151" ht="12.75" customHeight="1">
      <c r="A151" s="3">
        <f>edate(C151,-6)</f>
        <v>44470</v>
      </c>
      <c r="B151" s="10" t="str">
        <f t="shared" si="1"/>
        <v>=edate(C151,-6)</v>
      </c>
      <c r="C151" s="21">
        <v>44652.0</v>
      </c>
      <c r="D151" s="10" t="str">
        <f t="shared" si="2"/>
        <v>&lt;&gt;</v>
      </c>
      <c r="E151" s="15" t="s">
        <v>121</v>
      </c>
      <c r="F151" s="22" t="s">
        <v>61</v>
      </c>
      <c r="G151" s="19"/>
      <c r="H151" s="15" t="s">
        <v>122</v>
      </c>
      <c r="I151" s="16"/>
    </row>
    <row r="152" ht="12.75" customHeight="1">
      <c r="A152" s="21">
        <v>44621.0</v>
      </c>
      <c r="B152" s="10" t="str">
        <f t="shared" si="1"/>
        <v>&lt;&gt;</v>
      </c>
      <c r="C152" s="3">
        <f t="shared" ref="C152:C153" si="30">edate(A152,3)</f>
        <v>44713</v>
      </c>
      <c r="D152" s="10" t="str">
        <f t="shared" si="2"/>
        <v>=edate(A152,3)</v>
      </c>
      <c r="E152" s="19" t="s">
        <v>123</v>
      </c>
      <c r="F152" s="22" t="s">
        <v>61</v>
      </c>
      <c r="G152" s="19"/>
      <c r="H152" s="15" t="s">
        <v>124</v>
      </c>
      <c r="I152" s="16"/>
    </row>
    <row r="153" ht="12.75" customHeight="1">
      <c r="A153" s="3">
        <f>C151</f>
        <v>44652</v>
      </c>
      <c r="B153" s="10" t="str">
        <f t="shared" si="1"/>
        <v>=C151</v>
      </c>
      <c r="C153" s="21">
        <f t="shared" si="30"/>
        <v>44743</v>
      </c>
      <c r="D153" s="10" t="str">
        <f t="shared" si="2"/>
        <v>=edate(A153,3)</v>
      </c>
      <c r="E153" s="19" t="s">
        <v>125</v>
      </c>
      <c r="F153" s="22" t="s">
        <v>61</v>
      </c>
      <c r="G153" s="19"/>
      <c r="H153" s="15" t="s">
        <v>126</v>
      </c>
      <c r="I153" s="16"/>
    </row>
    <row r="154" ht="12.75" customHeight="1">
      <c r="A154" s="32">
        <f>edate(C154,-3)</f>
        <v>44743</v>
      </c>
      <c r="B154" s="10" t="str">
        <f t="shared" si="1"/>
        <v>=edate(C154,-3)</v>
      </c>
      <c r="C154" s="21">
        <f>edate(A156,2)</f>
        <v>44835</v>
      </c>
      <c r="D154" s="10" t="str">
        <f t="shared" si="2"/>
        <v>=edate(A156,2)</v>
      </c>
      <c r="E154" s="19" t="s">
        <v>127</v>
      </c>
      <c r="F154" s="22" t="s">
        <v>61</v>
      </c>
      <c r="G154" s="19"/>
      <c r="H154" s="31" t="s">
        <v>117</v>
      </c>
      <c r="I154" s="16"/>
    </row>
    <row r="155" ht="12.75" customHeight="1">
      <c r="A155" s="20">
        <f>C152</f>
        <v>44713</v>
      </c>
      <c r="B155" s="10" t="str">
        <f t="shared" si="1"/>
        <v>=C152</v>
      </c>
      <c r="C155" s="32">
        <f>edate(A155,3)</f>
        <v>44805</v>
      </c>
      <c r="D155" s="10" t="str">
        <f t="shared" si="2"/>
        <v>=edate(A155,3)</v>
      </c>
      <c r="E155" s="33" t="s">
        <v>128</v>
      </c>
      <c r="F155" s="22" t="s">
        <v>61</v>
      </c>
      <c r="G155" s="19"/>
      <c r="H155" s="31" t="s">
        <v>117</v>
      </c>
      <c r="I155" s="16"/>
    </row>
    <row r="156" ht="12.75" customHeight="1">
      <c r="A156" s="20">
        <f>edate(C156,-8)</f>
        <v>44774</v>
      </c>
      <c r="B156" s="10" t="str">
        <f t="shared" si="1"/>
        <v>=edate(C156,-8)</v>
      </c>
      <c r="C156" s="21">
        <v>45017.0</v>
      </c>
      <c r="D156" s="10" t="str">
        <f t="shared" si="2"/>
        <v>&lt;&gt;</v>
      </c>
      <c r="E156" s="19" t="s">
        <v>129</v>
      </c>
      <c r="F156" s="22" t="s">
        <v>61</v>
      </c>
      <c r="G156" s="19"/>
      <c r="H156" s="31" t="s">
        <v>117</v>
      </c>
      <c r="I156" s="16"/>
    </row>
    <row r="157" ht="12.75" customHeight="1">
      <c r="A157" s="20">
        <f>A156</f>
        <v>44774</v>
      </c>
      <c r="B157" s="10" t="str">
        <f t="shared" si="1"/>
        <v>=A156</v>
      </c>
      <c r="C157" s="21">
        <f>edate(A157,4)</f>
        <v>44896</v>
      </c>
      <c r="D157" s="10" t="str">
        <f t="shared" si="2"/>
        <v>=edate(A157,4)</v>
      </c>
      <c r="E157" s="30" t="s">
        <v>130</v>
      </c>
      <c r="F157" s="22" t="s">
        <v>61</v>
      </c>
      <c r="G157" s="19"/>
      <c r="H157" s="15" t="s">
        <v>122</v>
      </c>
      <c r="I157" s="16"/>
    </row>
    <row r="158" ht="12.75" customHeight="1">
      <c r="A158" s="20">
        <f>edate(C158,-3)</f>
        <v>44927</v>
      </c>
      <c r="B158" s="10" t="str">
        <f t="shared" si="1"/>
        <v>=edate(C158,-3)</v>
      </c>
      <c r="C158" s="34">
        <v>45017.0</v>
      </c>
      <c r="D158" s="10" t="str">
        <f t="shared" si="2"/>
        <v>&lt;&gt;</v>
      </c>
      <c r="E158" s="19" t="s">
        <v>131</v>
      </c>
      <c r="F158" s="22" t="s">
        <v>61</v>
      </c>
      <c r="G158" s="19"/>
      <c r="H158" s="15" t="s">
        <v>117</v>
      </c>
      <c r="I158" s="16"/>
    </row>
  </sheetData>
  <conditionalFormatting sqref="B2:B158 C2 D2:D158">
    <cfRule type="cellIs" dxfId="0" priority="1" operator="equal">
      <formula>"TRUE"</formula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2" t="s">
        <v>8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</sheetData>
  <drawing r:id="rId1"/>
</worksheet>
</file>